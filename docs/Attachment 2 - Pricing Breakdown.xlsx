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umya.ghosh\Downloads\"/>
    </mc:Choice>
  </mc:AlternateContent>
  <xr:revisionPtr revIDLastSave="0" documentId="13_ncr:1_{9B08C3D0-9940-46F4-8FA3-FAAFA619F181}" xr6:coauthVersionLast="47" xr6:coauthVersionMax="47" xr10:uidLastSave="{00000000-0000-0000-0000-000000000000}"/>
  <bookViews>
    <workbookView xWindow="-120" yWindow="-120" windowWidth="29040" windowHeight="15720" tabRatio="658" xr2:uid="{00000000-000D-0000-FFFF-FFFF00000000}"/>
  </bookViews>
  <sheets>
    <sheet name="Instructions" sheetId="3" r:id="rId1"/>
    <sheet name="Implementation Costs" sheetId="10" r:id="rId2"/>
    <sheet name="Licensing Costs" sheetId="11" r:id="rId3"/>
    <sheet name="Ongoing Operating Costs" sheetId="7" r:id="rId4"/>
    <sheet name="Hourly Resource Rates" sheetId="2" r:id="rId5"/>
    <sheet name="5 Year Pricing Model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G9" i="11"/>
  <c r="B4" i="12" s="1"/>
  <c r="F7" i="10"/>
  <c r="F7" i="11"/>
  <c r="F4" i="7"/>
  <c r="F5" i="7"/>
  <c r="F3" i="7"/>
  <c r="F6" i="7" s="1"/>
  <c r="D5" i="12" s="1"/>
  <c r="F4" i="11"/>
  <c r="F5" i="11"/>
  <c r="F6" i="11"/>
  <c r="F8" i="11"/>
  <c r="F3" i="11"/>
  <c r="F10" i="10"/>
  <c r="F5" i="10"/>
  <c r="F6" i="10"/>
  <c r="F8" i="10"/>
  <c r="F9" i="10"/>
  <c r="F7" i="7" l="1"/>
  <c r="G5" i="12"/>
  <c r="F5" i="12"/>
  <c r="C5" i="12"/>
  <c r="F8" i="7"/>
  <c r="E5" i="12"/>
  <c r="B5" i="12"/>
  <c r="F11" i="10"/>
  <c r="B3" i="12" s="1"/>
  <c r="B6" i="12" s="1"/>
  <c r="G10" i="11"/>
  <c r="G4" i="12"/>
  <c r="G6" i="12" s="1"/>
  <c r="F4" i="12"/>
  <c r="F6" i="12" s="1"/>
  <c r="E4" i="12"/>
  <c r="E6" i="12" s="1"/>
  <c r="D4" i="12"/>
  <c r="D6" i="12" s="1"/>
  <c r="G11" i="11"/>
  <c r="C4" i="12"/>
  <c r="C6" i="12" s="1"/>
  <c r="G8" i="12" l="1"/>
  <c r="G9" i="12" s="1"/>
  <c r="G10" i="12" s="1"/>
  <c r="F12" i="10"/>
  <c r="F13" i="10" s="1"/>
</calcChain>
</file>

<file path=xl/sharedStrings.xml><?xml version="1.0" encoding="utf-8"?>
<sst xmlns="http://schemas.openxmlformats.org/spreadsheetml/2006/main" count="143" uniqueCount="111">
  <si>
    <t xml:space="preserve">Instructions on How to Complete Pricing Form </t>
  </si>
  <si>
    <t>Estimated User Counts: to be used as a guideline for license costs</t>
  </si>
  <si>
    <t xml:space="preserve">Proponent must provide pricing information in the prescribed tab (green tabs) of the attached spreadsheet. </t>
  </si>
  <si>
    <t>High-level Functional Grouping</t>
  </si>
  <si>
    <t># of Users</t>
  </si>
  <si>
    <t xml:space="preserve">1) </t>
  </si>
  <si>
    <t xml:space="preserve">Implementation Costs </t>
  </si>
  <si>
    <t>Customer Service</t>
  </si>
  <si>
    <t xml:space="preserve">2) </t>
  </si>
  <si>
    <t>License Costs</t>
  </si>
  <si>
    <t>Energy Marketers</t>
  </si>
  <si>
    <t xml:space="preserve">3) </t>
  </si>
  <si>
    <t>Ongoing Operating Costs</t>
  </si>
  <si>
    <t>Usage, Billing, &amp; Reporting</t>
  </si>
  <si>
    <t xml:space="preserve">4) </t>
  </si>
  <si>
    <t xml:space="preserve">Hourly Resource Rates </t>
  </si>
  <si>
    <t>Finance</t>
  </si>
  <si>
    <r>
      <t xml:space="preserve">The </t>
    </r>
    <r>
      <rPr>
        <b/>
        <sz val="12"/>
        <color theme="1"/>
        <rFont val="Segoe UI Semilight"/>
        <family val="2"/>
        <scheme val="minor"/>
      </rPr>
      <t xml:space="preserve">5-year pricing model </t>
    </r>
    <r>
      <rPr>
        <sz val="12"/>
        <color theme="1"/>
        <rFont val="Segoe UI Semilight"/>
        <family val="2"/>
        <scheme val="minor"/>
      </rPr>
      <t xml:space="preserve">will be automatically populated according to the numbers provided in the above tabs for UTILITYnet's consideration (excluding Hourly Resource Rates). </t>
    </r>
  </si>
  <si>
    <t>Executive</t>
  </si>
  <si>
    <t>Italicized texts in blue are sample descriptions for the Proponent to write over with their own descriptions /units. Additional rows within each of the tabs may be added or deleted if required, but the spreadsheet categories must be maintained as provided.</t>
  </si>
  <si>
    <t xml:space="preserve">Pricing Definitions: </t>
  </si>
  <si>
    <t>a)</t>
  </si>
  <si>
    <t>b)</t>
  </si>
  <si>
    <t>Rates quoted by the proponent must be all-inclusive and must include all labour and material costs, all travel and carriage costs, all insurance costs, all costs of delivery, all costs of installation and set-up, including any pre-delivery inspection charges, and all other overhead, including any fees or other charges required by law.</t>
  </si>
  <si>
    <t>c)</t>
  </si>
  <si>
    <t>Proponent should list all assumptions relevant to the pricing information that they are providing.</t>
  </si>
  <si>
    <t>d)</t>
  </si>
  <si>
    <t xml:space="preserve">Proponent must provide pricing details on all components of their integration platform that is being proposed as part of their response to this RFP.  </t>
  </si>
  <si>
    <t>e)</t>
  </si>
  <si>
    <t xml:space="preserve">Estimated user counts provided below must be used for all license pricing. </t>
  </si>
  <si>
    <t xml:space="preserve">Definitions: </t>
  </si>
  <si>
    <r>
      <rPr>
        <b/>
        <sz val="12"/>
        <color theme="1"/>
        <rFont val="Segoe UI Semilight"/>
        <family val="2"/>
        <scheme val="minor"/>
      </rPr>
      <t>Unit:</t>
    </r>
    <r>
      <rPr>
        <sz val="12"/>
        <color theme="1"/>
        <rFont val="Segoe UI Semilight"/>
        <family val="2"/>
        <scheme val="minor"/>
      </rPr>
      <t xml:space="preserve"> Define the unit for each item (e.g., per project, per hour, per session, per day, etc.).</t>
    </r>
  </si>
  <si>
    <r>
      <rPr>
        <b/>
        <sz val="12"/>
        <color theme="1"/>
        <rFont val="Segoe UI Semilight"/>
        <family val="2"/>
        <scheme val="minor"/>
      </rPr>
      <t>Cost per Unit</t>
    </r>
    <r>
      <rPr>
        <sz val="12"/>
        <color theme="1"/>
        <rFont val="Segoe UI Semilight"/>
        <family val="2"/>
        <scheme val="minor"/>
      </rPr>
      <t>: Specify the cost per unit.</t>
    </r>
  </si>
  <si>
    <r>
      <rPr>
        <b/>
        <sz val="12"/>
        <color theme="1"/>
        <rFont val="Segoe UI Semilight"/>
        <family val="2"/>
        <scheme val="minor"/>
      </rPr>
      <t>Quantity:</t>
    </r>
    <r>
      <rPr>
        <sz val="12"/>
        <color theme="1"/>
        <rFont val="Segoe UI Semilight"/>
        <family val="2"/>
        <scheme val="minor"/>
      </rPr>
      <t xml:space="preserve"> Indicate the quantity required (e.g., number of hours, days, sessions, trips, or projects).</t>
    </r>
  </si>
  <si>
    <r>
      <rPr>
        <b/>
        <sz val="12"/>
        <color theme="1"/>
        <rFont val="Segoe UI Semilight"/>
        <family val="2"/>
        <scheme val="minor"/>
      </rPr>
      <t xml:space="preserve">Item Subtotal: </t>
    </r>
    <r>
      <rPr>
        <sz val="12"/>
        <color theme="1"/>
        <rFont val="Segoe UI Semilight"/>
        <family val="2"/>
        <scheme val="minor"/>
      </rPr>
      <t>Calculate the subtotal for the Item/Service category.  Multiply the cost per unit by the quantity to get the total cost for each item.</t>
    </r>
  </si>
  <si>
    <t>Implementation Services Cost</t>
  </si>
  <si>
    <t>Item/Service</t>
  </si>
  <si>
    <t>Description</t>
  </si>
  <si>
    <t>Unit</t>
  </si>
  <si>
    <t>Cost per Unit (excluding tax)</t>
  </si>
  <si>
    <t>Quantity</t>
  </si>
  <si>
    <t>Item Subtotal</t>
  </si>
  <si>
    <t>Initial Configuration and Setup</t>
  </si>
  <si>
    <t>Setup, configuration, and customization of the system</t>
  </si>
  <si>
    <t>Hours/Project</t>
  </si>
  <si>
    <t>Data Migration</t>
  </si>
  <si>
    <t>Migration of existing data into the new system, including data cleaning, mapping and validation</t>
  </si>
  <si>
    <t>Customization</t>
  </si>
  <si>
    <t>Custom feature development specific to the client’s needs</t>
  </si>
  <si>
    <t>Project Management</t>
  </si>
  <si>
    <t>Costs associated with managing the implementation</t>
  </si>
  <si>
    <t>Change Management and User Adoption</t>
  </si>
  <si>
    <t>Post-Implementation and Ongoing Support</t>
  </si>
  <si>
    <t>Support and maintenance provided immediately after the "go live" phase, including troubleshooting and user assistance</t>
  </si>
  <si>
    <t>Reimbursable Costs</t>
  </si>
  <si>
    <t>Travel, inspection, and communication costs reimbursed to the vendor</t>
  </si>
  <si>
    <t>Per Trip/Expense</t>
  </si>
  <si>
    <t>Other</t>
  </si>
  <si>
    <t xml:space="preserve">Subtotal </t>
  </si>
  <si>
    <t>Applicable GST</t>
  </si>
  <si>
    <t>Total</t>
  </si>
  <si>
    <t>Comments/Assumptions</t>
  </si>
  <si>
    <t xml:space="preserve">Software Licensing Options and Cost (Annual) </t>
  </si>
  <si>
    <t>Unit (Duration)</t>
  </si>
  <si>
    <t xml:space="preserve"> Item Subtotal</t>
  </si>
  <si>
    <t>Item Yearly Subtotal</t>
  </si>
  <si>
    <t>License Name One</t>
  </si>
  <si>
    <t>E.g., User Type, or module, or tier description as required</t>
  </si>
  <si>
    <t>Monthly/Yearly</t>
  </si>
  <si>
    <t>License Name Two</t>
  </si>
  <si>
    <t>License Name Etc.</t>
  </si>
  <si>
    <t xml:space="preserve">E.g., User Type, or module, or tier description as required. </t>
  </si>
  <si>
    <t>Hosting Fees</t>
  </si>
  <si>
    <t>E.g., Cloud hosting, On-premise hosting, if applicable</t>
  </si>
  <si>
    <t>Add-On Licensing Fees</t>
  </si>
  <si>
    <t>E.g., Integration Middleware, Plug Ins, as required or recommended</t>
  </si>
  <si>
    <t>Other Additional License Costs</t>
  </si>
  <si>
    <t>Ongoing Operating Costs Separate from Licensing (Annual)</t>
  </si>
  <si>
    <t xml:space="preserve">Unit (Duration) </t>
  </si>
  <si>
    <t>Cost per Unit 
(excluding tax)</t>
  </si>
  <si>
    <t>Maintenance and Support Services Costs</t>
  </si>
  <si>
    <t xml:space="preserve">E.g., Description of maintenance and support services provided </t>
  </si>
  <si>
    <t>On-going Training Cost</t>
  </si>
  <si>
    <t>E.g., Training sessions for staff to effectively use the new system during and after implementation</t>
  </si>
  <si>
    <t>Hours/Session</t>
  </si>
  <si>
    <t>Other Costs Not Listed Above</t>
  </si>
  <si>
    <t>Resource Rates</t>
  </si>
  <si>
    <t>Resource Type</t>
  </si>
  <si>
    <t>Resource Description</t>
  </si>
  <si>
    <t>Hourly Rate (excluding tax)</t>
  </si>
  <si>
    <t>`</t>
  </si>
  <si>
    <t>5 Year Pricing Model</t>
  </si>
  <si>
    <t>Year 0</t>
  </si>
  <si>
    <t>Year 1</t>
  </si>
  <si>
    <t>Year 2</t>
  </si>
  <si>
    <t>Year 3</t>
  </si>
  <si>
    <t>Year 4</t>
  </si>
  <si>
    <t>Year 5</t>
  </si>
  <si>
    <t xml:space="preserve">One-time Implementation Cost </t>
  </si>
  <si>
    <t>n/a</t>
  </si>
  <si>
    <t xml:space="preserve">Software Licensing Costs </t>
  </si>
  <si>
    <t>On-going Operating Costs</t>
  </si>
  <si>
    <t>Total Year Costs</t>
  </si>
  <si>
    <t>5 Year Subtotal</t>
  </si>
  <si>
    <t>5 Year Grand Total</t>
  </si>
  <si>
    <t>Rates must be provided in Canadian dollars, inclusive of all applicable duties and taxes except for applicable sales taxes, which should be itemized separately.</t>
  </si>
  <si>
    <t>E.g., cost for additional users, features, or modules (add additional rows above if required)</t>
  </si>
  <si>
    <t>Other costs not listed above (add additional rows above if required)</t>
  </si>
  <si>
    <t>E.g., Additional requirements or services, as needed (add additional rows above if required)</t>
  </si>
  <si>
    <t>Documentation, knowledge transfer and role-based training.</t>
  </si>
  <si>
    <r>
      <rPr>
        <b/>
        <sz val="12"/>
        <color theme="1"/>
        <rFont val="Segoe UI Semilight"/>
        <family val="2"/>
        <scheme val="minor"/>
      </rPr>
      <t>(License only) Item Yearly Subtotal:</t>
    </r>
    <r>
      <rPr>
        <sz val="12"/>
        <color theme="1"/>
        <rFont val="Segoe UI Semilight"/>
        <family val="2"/>
        <scheme val="minor"/>
      </rPr>
      <t xml:space="preserve"> Calculate the annual subtotal for the License item (if the Unit/Duration is not calculated by annual cost).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</si>
</sst>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25" x14ac:knownFonts="1">
    <font>
      <sz val="12"/>
      <color theme="1"/>
      <name val="Arial"/>
      <family val="2"/>
    </font>
    <font>
      <sz val="11"/>
      <color theme="1"/>
      <name val="Segoe UI Semilight"/>
      <family val="2"/>
      <scheme val="minor"/>
    </font>
    <font>
      <b/>
      <sz val="11"/>
      <color rgb="FFFFFFFF"/>
      <name val="Segoe UI Semibold"/>
      <family val="2"/>
      <scheme val="major"/>
    </font>
    <font>
      <b/>
      <sz val="11"/>
      <color theme="1"/>
      <name val="Segoe UI Semibold"/>
      <family val="2"/>
      <scheme val="major"/>
    </font>
    <font>
      <b/>
      <sz val="11"/>
      <color theme="0"/>
      <name val="Segoe UI Semibold"/>
      <family val="2"/>
      <scheme val="major"/>
    </font>
    <font>
      <sz val="8"/>
      <name val="Arial"/>
      <family val="2"/>
    </font>
    <font>
      <i/>
      <sz val="11"/>
      <color rgb="FF0000CC"/>
      <name val="Segoe UI Semilight"/>
      <family val="2"/>
      <scheme val="minor"/>
    </font>
    <font>
      <i/>
      <sz val="11"/>
      <color theme="1"/>
      <name val="Segoe UI Semilight"/>
      <family val="2"/>
      <scheme val="minor"/>
    </font>
    <font>
      <i/>
      <sz val="11"/>
      <name val="Segoe UI Semilight"/>
      <family val="2"/>
      <scheme val="minor"/>
    </font>
    <font>
      <sz val="11"/>
      <name val="Segoe UI Semilight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Segoe UI Semibold"/>
      <family val="2"/>
      <scheme val="major"/>
    </font>
    <font>
      <b/>
      <sz val="11"/>
      <color rgb="FF0000CC"/>
      <name val="Segoe UI Semilight"/>
      <family val="2"/>
      <scheme val="minor"/>
    </font>
    <font>
      <b/>
      <sz val="11"/>
      <name val="Segoe UI Semilight"/>
      <family val="2"/>
      <scheme val="minor"/>
    </font>
    <font>
      <b/>
      <sz val="11"/>
      <color theme="1"/>
      <name val="Segoe UI Semilight"/>
      <family val="2"/>
      <scheme val="minor"/>
    </font>
    <font>
      <sz val="12"/>
      <color theme="1"/>
      <name val="Segoe UI Semilight"/>
      <family val="2"/>
      <scheme val="minor"/>
    </font>
    <font>
      <b/>
      <sz val="14"/>
      <color theme="1"/>
      <name val="Segoe UI Semilight"/>
      <family val="2"/>
      <scheme val="minor"/>
    </font>
    <font>
      <b/>
      <sz val="12"/>
      <color theme="1"/>
      <name val="Segoe UI Semilight"/>
      <family val="2"/>
      <scheme val="minor"/>
    </font>
    <font>
      <sz val="11"/>
      <color rgb="FF0000CC"/>
      <name val="Segoe UI Semibold"/>
      <family val="2"/>
      <scheme val="major"/>
    </font>
    <font>
      <sz val="12"/>
      <color rgb="FFFFFFFF"/>
      <name val="Segoe UI Semibold"/>
      <family val="2"/>
      <scheme val="major"/>
    </font>
    <font>
      <b/>
      <sz val="12"/>
      <color rgb="FFFFFFFF"/>
      <name val="Segoe UI Semibold"/>
      <family val="2"/>
      <scheme val="major"/>
    </font>
    <font>
      <sz val="12"/>
      <color theme="1"/>
      <name val="Segoe UI Semibold"/>
      <family val="2"/>
      <scheme val="major"/>
    </font>
    <font>
      <b/>
      <sz val="12"/>
      <color theme="1"/>
      <name val="Segoe UI Semibold"/>
      <family val="2"/>
      <scheme val="maj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9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13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vertical="top" wrapText="1"/>
    </xf>
    <xf numFmtId="0" fontId="9" fillId="4" borderId="13" xfId="0" applyFont="1" applyFill="1" applyBorder="1" applyAlignment="1">
      <alignment horizontal="right" vertical="top" wrapText="1"/>
    </xf>
    <xf numFmtId="44" fontId="9" fillId="4" borderId="1" xfId="1" applyFont="1" applyFill="1" applyBorder="1"/>
    <xf numFmtId="44" fontId="9" fillId="4" borderId="1" xfId="0" applyNumberFormat="1" applyFont="1" applyFill="1" applyBorder="1" applyAlignment="1">
      <alignment horizontal="right" vertical="top" wrapText="1"/>
    </xf>
    <xf numFmtId="44" fontId="9" fillId="4" borderId="1" xfId="1" applyFont="1" applyFill="1" applyBorder="1" applyAlignment="1">
      <alignment vertical="top" wrapText="1"/>
    </xf>
    <xf numFmtId="44" fontId="9" fillId="4" borderId="13" xfId="1" applyFont="1" applyFill="1" applyBorder="1"/>
    <xf numFmtId="44" fontId="9" fillId="4" borderId="13" xfId="0" applyNumberFormat="1" applyFont="1" applyFill="1" applyBorder="1" applyAlignment="1">
      <alignment horizontal="right" vertical="top" wrapText="1"/>
    </xf>
    <xf numFmtId="44" fontId="8" fillId="4" borderId="1" xfId="1" applyFont="1" applyFill="1" applyBorder="1" applyAlignment="1">
      <alignment horizontal="center" vertical="center" wrapText="1"/>
    </xf>
    <xf numFmtId="44" fontId="8" fillId="4" borderId="13" xfId="1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vertical="top" wrapText="1"/>
    </xf>
    <xf numFmtId="44" fontId="3" fillId="4" borderId="1" xfId="1" applyFont="1" applyFill="1" applyBorder="1" applyAlignment="1">
      <alignment vertical="center" wrapText="1"/>
    </xf>
    <xf numFmtId="44" fontId="14" fillId="4" borderId="2" xfId="0" applyNumberFormat="1" applyFont="1" applyFill="1" applyBorder="1" applyAlignment="1">
      <alignment horizontal="right" vertical="top" wrapText="1"/>
    </xf>
    <xf numFmtId="44" fontId="14" fillId="4" borderId="1" xfId="0" applyNumberFormat="1" applyFont="1" applyFill="1" applyBorder="1" applyAlignment="1">
      <alignment horizontal="right" vertical="top" wrapText="1"/>
    </xf>
    <xf numFmtId="0" fontId="8" fillId="4" borderId="13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vertical="center" wrapText="1"/>
    </xf>
    <xf numFmtId="0" fontId="16" fillId="0" borderId="0" xfId="0" applyFont="1"/>
    <xf numFmtId="0" fontId="1" fillId="0" borderId="0" xfId="0" applyFont="1"/>
    <xf numFmtId="0" fontId="17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8" xfId="0" applyFont="1" applyBorder="1"/>
    <xf numFmtId="0" fontId="16" fillId="0" borderId="2" xfId="0" applyFont="1" applyBorder="1"/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8" fillId="0" borderId="4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15" fillId="0" borderId="0" xfId="0" applyFont="1" applyAlignment="1">
      <alignment vertical="center"/>
    </xf>
    <xf numFmtId="16" fontId="1" fillId="5" borderId="0" xfId="0" applyNumberFormat="1" applyFont="1" applyFill="1" applyAlignment="1">
      <alignment horizontal="center" vertical="center"/>
    </xf>
    <xf numFmtId="0" fontId="16" fillId="5" borderId="0" xfId="0" applyFont="1" applyFill="1"/>
    <xf numFmtId="0" fontId="16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center" wrapText="1"/>
    </xf>
    <xf numFmtId="44" fontId="19" fillId="4" borderId="2" xfId="1" applyFont="1" applyFill="1" applyBorder="1" applyAlignment="1">
      <alignment horizontal="right" vertical="top" wrapText="1"/>
    </xf>
    <xf numFmtId="44" fontId="19" fillId="4" borderId="1" xfId="1" applyFont="1" applyFill="1" applyBorder="1" applyAlignment="1">
      <alignment horizontal="right" vertical="top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44" fontId="23" fillId="6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164" fontId="16" fillId="6" borderId="1" xfId="0" applyNumberFormat="1" applyFont="1" applyFill="1" applyBorder="1" applyAlignment="1">
      <alignment vertical="center" wrapText="1"/>
    </xf>
    <xf numFmtId="0" fontId="23" fillId="5" borderId="12" xfId="0" applyFont="1" applyFill="1" applyBorder="1" applyAlignment="1">
      <alignment vertical="center" wrapText="1"/>
    </xf>
    <xf numFmtId="164" fontId="16" fillId="6" borderId="12" xfId="0" applyNumberFormat="1" applyFont="1" applyFill="1" applyBorder="1" applyAlignment="1">
      <alignment vertical="center" wrapText="1"/>
    </xf>
    <xf numFmtId="164" fontId="24" fillId="6" borderId="14" xfId="0" applyNumberFormat="1" applyFont="1" applyFill="1" applyBorder="1" applyAlignment="1">
      <alignment vertical="center" wrapText="1"/>
    </xf>
    <xf numFmtId="164" fontId="24" fillId="6" borderId="1" xfId="0" applyNumberFormat="1" applyFont="1" applyFill="1" applyBorder="1" applyAlignment="1">
      <alignment vertical="center" wrapText="1"/>
    </xf>
    <xf numFmtId="0" fontId="1" fillId="4" borderId="1" xfId="0" applyFont="1" applyFill="1" applyBorder="1"/>
    <xf numFmtId="0" fontId="1" fillId="4" borderId="13" xfId="0" applyFont="1" applyFill="1" applyBorder="1"/>
    <xf numFmtId="44" fontId="1" fillId="4" borderId="1" xfId="1" applyFont="1" applyFill="1" applyBorder="1"/>
    <xf numFmtId="44" fontId="9" fillId="4" borderId="1" xfId="1" applyFont="1" applyFill="1" applyBorder="1" applyAlignment="1" applyProtection="1">
      <alignment horizontal="right" vertical="top" wrapText="1"/>
    </xf>
    <xf numFmtId="44" fontId="9" fillId="4" borderId="13" xfId="1" applyFont="1" applyFill="1" applyBorder="1" applyAlignment="1" applyProtection="1">
      <alignment horizontal="right" vertical="top" wrapText="1"/>
    </xf>
    <xf numFmtId="44" fontId="13" fillId="4" borderId="2" xfId="0" applyNumberFormat="1" applyFont="1" applyFill="1" applyBorder="1" applyAlignment="1">
      <alignment horizontal="right" vertical="top" wrapText="1"/>
    </xf>
    <xf numFmtId="44" fontId="13" fillId="4" borderId="1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2" fillId="2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vertical="top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top"/>
    </xf>
    <xf numFmtId="0" fontId="11" fillId="0" borderId="0" xfId="0" applyFont="1" applyAlignment="1">
      <alignment horizontal="right" vertical="center" wrapText="1"/>
    </xf>
    <xf numFmtId="0" fontId="23" fillId="0" borderId="2" xfId="0" applyFont="1" applyBorder="1" applyAlignment="1">
      <alignment horizontal="right" vertical="center" wrapText="1"/>
    </xf>
    <xf numFmtId="0" fontId="23" fillId="0" borderId="13" xfId="0" applyFont="1" applyBorder="1" applyAlignment="1">
      <alignment horizontal="right" vertical="center" wrapText="1"/>
    </xf>
    <xf numFmtId="164" fontId="23" fillId="6" borderId="2" xfId="0" applyNumberFormat="1" applyFont="1" applyFill="1" applyBorder="1" applyAlignment="1">
      <alignment vertical="center" wrapText="1"/>
    </xf>
    <xf numFmtId="164" fontId="23" fillId="6" borderId="13" xfId="0" applyNumberFormat="1" applyFont="1" applyFill="1" applyBorder="1" applyAlignment="1">
      <alignment vertical="center" wrapText="1"/>
    </xf>
    <xf numFmtId="0" fontId="21" fillId="2" borderId="3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2"/>
        <color theme="1"/>
        <name val="Segoe UI Semilight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 Semilight"/>
        <family val="2"/>
        <scheme val="minor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 Semilight"/>
        <family val="2"/>
        <scheme val="minor"/>
      </font>
      <alignment horizontal="general"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Segoe UI Semilight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6A3EF0-25C7-487A-A15C-2A0C2D45D56D}" name="Table1" displayName="Table1" ref="G3:H9" totalsRowShown="0" headerRowDxfId="6" dataDxfId="4" headerRowBorderDxfId="5" tableBorderDxfId="3" totalsRowBorderDxfId="2">
  <autoFilter ref="G3:H9" xr:uid="{E9C41953-7087-4FA0-86E2-2017DA00E093}"/>
  <tableColumns count="2">
    <tableColumn id="1" xr3:uid="{760E6AD0-5451-4729-B144-282B69F4DF35}" name="High-level Functional Grouping" dataDxfId="1"/>
    <tableColumn id="3" xr3:uid="{E1528CE2-943C-4848-9C61-F16573756934}" name="# of Us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NP2021">
  <a:themeElements>
    <a:clrScheme name="MNP - July 2020">
      <a:dk1>
        <a:srgbClr val="0F1313"/>
      </a:dk1>
      <a:lt1>
        <a:srgbClr val="FFFFFF"/>
      </a:lt1>
      <a:dk2>
        <a:srgbClr val="0F3C4F"/>
      </a:dk2>
      <a:lt2>
        <a:srgbClr val="F2F2F2"/>
      </a:lt2>
      <a:accent1>
        <a:srgbClr val="0F3C4F"/>
      </a:accent1>
      <a:accent2>
        <a:srgbClr val="035244"/>
      </a:accent2>
      <a:accent3>
        <a:srgbClr val="0C3343"/>
      </a:accent3>
      <a:accent4>
        <a:srgbClr val="EF5A27"/>
      </a:accent4>
      <a:accent5>
        <a:srgbClr val="107F8A"/>
      </a:accent5>
      <a:accent6>
        <a:srgbClr val="0F1313"/>
      </a:accent6>
      <a:hlink>
        <a:srgbClr val="EF5A27"/>
      </a:hlink>
      <a:folHlink>
        <a:srgbClr val="EF5A27"/>
      </a:folHlink>
    </a:clrScheme>
    <a:fontScheme name="MNP - Fonts - Jun2020">
      <a:majorFont>
        <a:latin typeface="Segoe UI Semibold"/>
        <a:ea typeface=""/>
        <a:cs typeface=""/>
      </a:majorFont>
      <a:minorFont>
        <a:latin typeface="Segoe UI Semi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wrap="square" rtlCol="0" anchor="ctr">
        <a:noAutofit/>
      </a:bodyPr>
      <a:lstStyle>
        <a:defPPr algn="ctr">
          <a:defRPr sz="1600" b="1" dirty="0" smtClean="0">
            <a:solidFill>
              <a:schemeClr val="bg1"/>
            </a:solidFill>
            <a:latin typeface="+mj-lt"/>
            <a:ea typeface="Corbel" charset="0"/>
            <a:cs typeface="Corbel" charset="0"/>
          </a:defRPr>
        </a:defPPr>
      </a:lstStyle>
    </a:spDef>
  </a:objectDefaults>
  <a:extraClrSchemeLst/>
  <a:extLst>
    <a:ext uri="{05A4C25C-085E-4340-85A3-A5531E510DB2}">
      <thm15:themeFamily xmlns:thm15="http://schemas.microsoft.com/office/thememl/2012/main" name="MNP2021" id="{2694DDAA-1FFC-4EDC-9236-FC5399ABF257}" vid="{C5229C85-1893-41DD-8A6E-0389E24CEFF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14999847407452621"/>
  </sheetPr>
  <dimension ref="B1:H25"/>
  <sheetViews>
    <sheetView showGridLines="0" tabSelected="1" workbookViewId="0"/>
  </sheetViews>
  <sheetFormatPr defaultColWidth="8.77734375" defaultRowHeight="17.25" x14ac:dyDescent="0.3"/>
  <cols>
    <col min="1" max="1" width="2.109375" style="31" customWidth="1"/>
    <col min="2" max="2" width="2.109375" style="31" bestFit="1" customWidth="1"/>
    <col min="3" max="3" width="4" style="31" customWidth="1"/>
    <col min="4" max="4" width="78.88671875" style="31" customWidth="1"/>
    <col min="5" max="5" width="1.88671875" style="31" customWidth="1"/>
    <col min="6" max="6" width="8.77734375" style="31"/>
    <col min="7" max="7" width="31.5546875" style="31" customWidth="1"/>
    <col min="8" max="8" width="11.6640625" style="31" bestFit="1" customWidth="1"/>
    <col min="9" max="16384" width="8.77734375" style="31"/>
  </cols>
  <sheetData>
    <row r="1" spans="2:8" x14ac:dyDescent="0.3">
      <c r="H1" s="32"/>
    </row>
    <row r="2" spans="2:8" ht="20.25" x14ac:dyDescent="0.35">
      <c r="B2" s="33"/>
      <c r="C2" s="71" t="s">
        <v>0</v>
      </c>
      <c r="D2" s="71"/>
      <c r="G2" s="31" t="s">
        <v>1</v>
      </c>
    </row>
    <row r="3" spans="2:8" ht="18" customHeight="1" x14ac:dyDescent="0.3">
      <c r="B3" s="34"/>
      <c r="C3" s="72" t="s">
        <v>2</v>
      </c>
      <c r="D3" s="72"/>
      <c r="G3" s="36" t="s">
        <v>3</v>
      </c>
      <c r="H3" s="37" t="s">
        <v>4</v>
      </c>
    </row>
    <row r="4" spans="2:8" x14ac:dyDescent="0.3">
      <c r="B4" s="34"/>
      <c r="C4" s="38" t="s">
        <v>5</v>
      </c>
      <c r="D4" s="39" t="s">
        <v>6</v>
      </c>
      <c r="G4" s="40" t="s">
        <v>7</v>
      </c>
      <c r="H4" s="41">
        <v>15</v>
      </c>
    </row>
    <row r="5" spans="2:8" x14ac:dyDescent="0.3">
      <c r="B5" s="34"/>
      <c r="C5" s="38" t="s">
        <v>8</v>
      </c>
      <c r="D5" s="39" t="s">
        <v>9</v>
      </c>
      <c r="G5" s="40" t="s">
        <v>10</v>
      </c>
      <c r="H5" s="41">
        <v>3</v>
      </c>
    </row>
    <row r="6" spans="2:8" x14ac:dyDescent="0.3">
      <c r="B6" s="34"/>
      <c r="C6" s="38" t="s">
        <v>11</v>
      </c>
      <c r="D6" s="39" t="s">
        <v>12</v>
      </c>
      <c r="G6" s="40" t="s">
        <v>13</v>
      </c>
      <c r="H6" s="41">
        <v>10</v>
      </c>
    </row>
    <row r="7" spans="2:8" x14ac:dyDescent="0.3">
      <c r="B7" s="34"/>
      <c r="C7" s="38" t="s">
        <v>14</v>
      </c>
      <c r="D7" s="39" t="s">
        <v>15</v>
      </c>
      <c r="G7" s="40" t="s">
        <v>16</v>
      </c>
      <c r="H7" s="41">
        <v>5</v>
      </c>
    </row>
    <row r="8" spans="2:8" ht="43.15" customHeight="1" x14ac:dyDescent="0.3">
      <c r="B8" s="34"/>
      <c r="C8" s="73" t="s">
        <v>17</v>
      </c>
      <c r="D8" s="73"/>
      <c r="G8" s="42" t="s">
        <v>18</v>
      </c>
      <c r="H8" s="43">
        <v>5</v>
      </c>
    </row>
    <row r="9" spans="2:8" ht="30" customHeight="1" x14ac:dyDescent="0.3">
      <c r="B9" s="34"/>
      <c r="C9" s="72" t="s">
        <v>19</v>
      </c>
      <c r="D9" s="72"/>
      <c r="G9" s="42"/>
      <c r="H9" s="43"/>
    </row>
    <row r="10" spans="2:8" ht="27" customHeight="1" x14ac:dyDescent="0.3">
      <c r="B10" s="34"/>
      <c r="C10" s="72"/>
      <c r="D10" s="72"/>
      <c r="G10" s="44"/>
      <c r="H10" s="44"/>
    </row>
    <row r="11" spans="2:8" ht="18" customHeight="1" x14ac:dyDescent="0.3">
      <c r="B11" s="34"/>
      <c r="C11" s="72"/>
      <c r="D11" s="72"/>
      <c r="G11" s="44"/>
      <c r="H11" s="44"/>
    </row>
    <row r="12" spans="2:8" ht="15" customHeight="1" x14ac:dyDescent="0.3">
      <c r="B12" s="34"/>
      <c r="C12" s="35"/>
      <c r="D12" s="35"/>
      <c r="G12" s="45"/>
      <c r="H12" s="46"/>
    </row>
    <row r="13" spans="2:8" ht="18" customHeight="1" x14ac:dyDescent="0.3">
      <c r="B13" s="34"/>
      <c r="C13" s="69" t="s">
        <v>20</v>
      </c>
      <c r="D13" s="69"/>
      <c r="H13" s="47"/>
    </row>
    <row r="14" spans="2:8" ht="34.5" x14ac:dyDescent="0.3">
      <c r="B14" s="34"/>
      <c r="C14" s="48" t="s">
        <v>21</v>
      </c>
      <c r="D14" s="39" t="s">
        <v>105</v>
      </c>
      <c r="G14" s="44"/>
      <c r="H14" s="44"/>
    </row>
    <row r="15" spans="2:8" ht="69" x14ac:dyDescent="0.3">
      <c r="B15" s="34"/>
      <c r="C15" s="48" t="s">
        <v>22</v>
      </c>
      <c r="D15" s="39" t="s">
        <v>23</v>
      </c>
    </row>
    <row r="16" spans="2:8" s="44" customFormat="1" ht="15.75" customHeight="1" x14ac:dyDescent="0.3">
      <c r="B16" s="49"/>
      <c r="C16" s="48" t="s">
        <v>24</v>
      </c>
      <c r="D16" s="39" t="s">
        <v>25</v>
      </c>
      <c r="G16" s="31"/>
      <c r="H16" s="31"/>
    </row>
    <row r="17" spans="2:4" ht="34.5" x14ac:dyDescent="0.3">
      <c r="B17" s="34"/>
      <c r="C17" s="48" t="s">
        <v>26</v>
      </c>
      <c r="D17" s="39" t="s">
        <v>27</v>
      </c>
    </row>
    <row r="18" spans="2:4" x14ac:dyDescent="0.3">
      <c r="C18" s="48" t="s">
        <v>28</v>
      </c>
      <c r="D18" s="39" t="s">
        <v>29</v>
      </c>
    </row>
    <row r="20" spans="2:4" x14ac:dyDescent="0.3">
      <c r="C20" s="70" t="s">
        <v>30</v>
      </c>
      <c r="D20" s="70"/>
    </row>
    <row r="21" spans="2:4" x14ac:dyDescent="0.3">
      <c r="D21" s="39" t="s">
        <v>31</v>
      </c>
    </row>
    <row r="22" spans="2:4" x14ac:dyDescent="0.3">
      <c r="D22" s="39" t="s">
        <v>32</v>
      </c>
    </row>
    <row r="23" spans="2:4" ht="15" customHeight="1" x14ac:dyDescent="0.3">
      <c r="D23" s="39" t="s">
        <v>33</v>
      </c>
    </row>
    <row r="24" spans="2:4" ht="34.5" x14ac:dyDescent="0.3">
      <c r="D24" s="39" t="s">
        <v>34</v>
      </c>
    </row>
    <row r="25" spans="2:4" ht="34.5" x14ac:dyDescent="0.3">
      <c r="D25" s="39" t="s">
        <v>110</v>
      </c>
    </row>
  </sheetData>
  <mergeCells count="6">
    <mergeCell ref="C13:D13"/>
    <mergeCell ref="C20:D20"/>
    <mergeCell ref="C2:D2"/>
    <mergeCell ref="C3:D3"/>
    <mergeCell ref="C8:D8"/>
    <mergeCell ref="C9:D11"/>
  </mergeCells>
  <phoneticPr fontId="5" type="noConversion"/>
  <pageMargins left="0.7" right="0.7" top="0.75" bottom="0.75" header="0.3" footer="0.3"/>
  <pageSetup orientation="portrait" r:id="rId1"/>
  <customProperties>
    <customPr name="OrphanNamesChecke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FBAE-ED03-48DB-84B6-99C68430FD2A}">
  <sheetPr codeName="Sheet2">
    <tabColor rgb="FF92D050"/>
  </sheetPr>
  <dimension ref="A1:F26"/>
  <sheetViews>
    <sheetView zoomScaleNormal="100" workbookViewId="0">
      <selection sqref="A1:F1"/>
    </sheetView>
  </sheetViews>
  <sheetFormatPr defaultRowHeight="15" x14ac:dyDescent="0.2"/>
  <cols>
    <col min="1" max="1" width="34.6640625" customWidth="1"/>
    <col min="2" max="2" width="64.44140625" customWidth="1"/>
    <col min="3" max="6" width="15.77734375" customWidth="1"/>
  </cols>
  <sheetData>
    <row r="1" spans="1:6" ht="40.9" customHeight="1" x14ac:dyDescent="0.2">
      <c r="A1" s="74" t="s">
        <v>35</v>
      </c>
      <c r="B1" s="74"/>
      <c r="C1" s="74"/>
      <c r="D1" s="74"/>
      <c r="E1" s="74"/>
      <c r="F1" s="74"/>
    </row>
    <row r="2" spans="1:6" ht="33" x14ac:dyDescent="0.2">
      <c r="A2" s="1" t="s">
        <v>36</v>
      </c>
      <c r="B2" s="1" t="s">
        <v>37</v>
      </c>
      <c r="C2" s="1" t="s">
        <v>38</v>
      </c>
      <c r="D2" s="1" t="s">
        <v>39</v>
      </c>
      <c r="E2" s="3" t="s">
        <v>40</v>
      </c>
      <c r="F2" s="3" t="s">
        <v>41</v>
      </c>
    </row>
    <row r="3" spans="1:6" ht="16.5" x14ac:dyDescent="0.3">
      <c r="A3" s="13" t="s">
        <v>42</v>
      </c>
      <c r="B3" s="6" t="s">
        <v>43</v>
      </c>
      <c r="C3" s="5" t="s">
        <v>44</v>
      </c>
      <c r="D3" s="18">
        <v>0</v>
      </c>
      <c r="E3" s="15"/>
      <c r="F3" s="65">
        <f t="shared" ref="F3:F10" si="0">D3*E3</f>
        <v>0</v>
      </c>
    </row>
    <row r="4" spans="1:6" ht="33" x14ac:dyDescent="0.3">
      <c r="A4" s="13" t="s">
        <v>45</v>
      </c>
      <c r="B4" s="6" t="s">
        <v>46</v>
      </c>
      <c r="C4" s="5" t="s">
        <v>44</v>
      </c>
      <c r="D4" s="18"/>
      <c r="E4" s="15"/>
      <c r="F4" s="65">
        <f>D4*E4</f>
        <v>0</v>
      </c>
    </row>
    <row r="5" spans="1:6" ht="16.5" x14ac:dyDescent="0.3">
      <c r="A5" s="13" t="s">
        <v>47</v>
      </c>
      <c r="B5" s="6" t="s">
        <v>48</v>
      </c>
      <c r="C5" s="5" t="s">
        <v>44</v>
      </c>
      <c r="D5" s="18"/>
      <c r="E5" s="15"/>
      <c r="F5" s="65">
        <f t="shared" si="0"/>
        <v>0</v>
      </c>
    </row>
    <row r="6" spans="1:6" ht="16.5" x14ac:dyDescent="0.3">
      <c r="A6" s="13" t="s">
        <v>49</v>
      </c>
      <c r="B6" s="6" t="s">
        <v>50</v>
      </c>
      <c r="C6" s="5" t="s">
        <v>44</v>
      </c>
      <c r="D6" s="18"/>
      <c r="E6" s="15"/>
      <c r="F6" s="65">
        <f t="shared" si="0"/>
        <v>0</v>
      </c>
    </row>
    <row r="7" spans="1:6" ht="16.5" x14ac:dyDescent="0.3">
      <c r="A7" s="13" t="s">
        <v>51</v>
      </c>
      <c r="B7" s="6" t="s">
        <v>109</v>
      </c>
      <c r="C7" s="5" t="s">
        <v>44</v>
      </c>
      <c r="D7" s="18"/>
      <c r="E7" s="16"/>
      <c r="F7" s="65">
        <f t="shared" si="0"/>
        <v>0</v>
      </c>
    </row>
    <row r="8" spans="1:6" ht="33" x14ac:dyDescent="0.3">
      <c r="A8" s="13" t="s">
        <v>52</v>
      </c>
      <c r="B8" s="6" t="s">
        <v>53</v>
      </c>
      <c r="C8" s="5" t="s">
        <v>44</v>
      </c>
      <c r="D8" s="18"/>
      <c r="E8" s="15"/>
      <c r="F8" s="65">
        <f t="shared" si="0"/>
        <v>0</v>
      </c>
    </row>
    <row r="9" spans="1:6" ht="16.5" x14ac:dyDescent="0.3">
      <c r="A9" s="13" t="s">
        <v>54</v>
      </c>
      <c r="B9" s="6" t="s">
        <v>55</v>
      </c>
      <c r="C9" s="5" t="s">
        <v>56</v>
      </c>
      <c r="D9" s="18"/>
      <c r="E9" s="15"/>
      <c r="F9" s="65">
        <f t="shared" si="0"/>
        <v>0</v>
      </c>
    </row>
    <row r="10" spans="1:6" ht="17.25" thickBot="1" x14ac:dyDescent="0.35">
      <c r="A10" s="14" t="s">
        <v>57</v>
      </c>
      <c r="B10" s="30" t="s">
        <v>107</v>
      </c>
      <c r="C10" s="9"/>
      <c r="D10" s="21"/>
      <c r="E10" s="17"/>
      <c r="F10" s="66">
        <f t="shared" si="0"/>
        <v>0</v>
      </c>
    </row>
    <row r="11" spans="1:6" ht="17.25" thickTop="1" x14ac:dyDescent="0.2">
      <c r="B11" s="4"/>
      <c r="C11" s="4"/>
      <c r="E11" s="7" t="s">
        <v>58</v>
      </c>
      <c r="F11" s="67">
        <f>SUM(F3:F10)</f>
        <v>0</v>
      </c>
    </row>
    <row r="12" spans="1:6" ht="16.5" x14ac:dyDescent="0.2">
      <c r="B12" s="4"/>
      <c r="C12" s="4"/>
      <c r="E12" s="7" t="s">
        <v>59</v>
      </c>
      <c r="F12" s="68">
        <f>F11*0.05</f>
        <v>0</v>
      </c>
    </row>
    <row r="13" spans="1:6" ht="16.5" x14ac:dyDescent="0.2">
      <c r="A13" s="4"/>
      <c r="B13" s="4"/>
      <c r="C13" s="4"/>
      <c r="E13" s="7" t="s">
        <v>60</v>
      </c>
      <c r="F13" s="68">
        <f>SUM(F11:F12)</f>
        <v>0</v>
      </c>
    </row>
    <row r="15" spans="1:6" ht="16.5" x14ac:dyDescent="0.2">
      <c r="A15" s="75" t="s">
        <v>61</v>
      </c>
      <c r="B15" s="75"/>
    </row>
    <row r="16" spans="1:6" x14ac:dyDescent="0.2">
      <c r="A16" s="76"/>
      <c r="B16" s="76"/>
    </row>
    <row r="17" spans="1:2" x14ac:dyDescent="0.2">
      <c r="A17" s="76"/>
      <c r="B17" s="76"/>
    </row>
    <row r="18" spans="1:2" x14ac:dyDescent="0.2">
      <c r="A18" s="76"/>
      <c r="B18" s="76"/>
    </row>
    <row r="19" spans="1:2" x14ac:dyDescent="0.2">
      <c r="A19" s="76"/>
      <c r="B19" s="76"/>
    </row>
    <row r="20" spans="1:2" x14ac:dyDescent="0.2">
      <c r="A20" s="76"/>
      <c r="B20" s="76"/>
    </row>
    <row r="21" spans="1:2" x14ac:dyDescent="0.2">
      <c r="A21" s="76"/>
      <c r="B21" s="76"/>
    </row>
    <row r="22" spans="1:2" x14ac:dyDescent="0.2">
      <c r="A22" s="76"/>
      <c r="B22" s="76"/>
    </row>
    <row r="23" spans="1:2" x14ac:dyDescent="0.2">
      <c r="A23" s="76"/>
      <c r="B23" s="76"/>
    </row>
    <row r="24" spans="1:2" x14ac:dyDescent="0.2">
      <c r="A24" s="76"/>
      <c r="B24" s="76"/>
    </row>
    <row r="25" spans="1:2" x14ac:dyDescent="0.2">
      <c r="A25" s="76"/>
      <c r="B25" s="76"/>
    </row>
    <row r="26" spans="1:2" x14ac:dyDescent="0.2">
      <c r="A26" s="76"/>
      <c r="B26" s="76"/>
    </row>
  </sheetData>
  <mergeCells count="13">
    <mergeCell ref="A19:B19"/>
    <mergeCell ref="A26:B26"/>
    <mergeCell ref="A20:B20"/>
    <mergeCell ref="A21:B21"/>
    <mergeCell ref="A22:B22"/>
    <mergeCell ref="A23:B23"/>
    <mergeCell ref="A24:B24"/>
    <mergeCell ref="A25:B25"/>
    <mergeCell ref="A1:F1"/>
    <mergeCell ref="A15:B15"/>
    <mergeCell ref="A16:B16"/>
    <mergeCell ref="A17:B17"/>
    <mergeCell ref="A18:B18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1AAA-2501-4E4B-B77E-A5CDDC065065}">
  <sheetPr codeName="Sheet3">
    <tabColor rgb="FF92D050"/>
  </sheetPr>
  <dimension ref="A1:G25"/>
  <sheetViews>
    <sheetView zoomScaleNormal="100" workbookViewId="0">
      <selection sqref="A1:G1"/>
    </sheetView>
  </sheetViews>
  <sheetFormatPr defaultRowHeight="15" x14ac:dyDescent="0.2"/>
  <cols>
    <col min="1" max="1" width="26.21875" customWidth="1"/>
    <col min="2" max="2" width="46.6640625" customWidth="1"/>
    <col min="3" max="3" width="20.77734375" customWidth="1"/>
    <col min="4" max="6" width="15.77734375" customWidth="1"/>
    <col min="7" max="7" width="20.77734375" customWidth="1"/>
  </cols>
  <sheetData>
    <row r="1" spans="1:7" ht="27.6" customHeight="1" x14ac:dyDescent="0.2">
      <c r="A1" s="74" t="s">
        <v>62</v>
      </c>
      <c r="B1" s="80"/>
      <c r="C1" s="80"/>
      <c r="D1" s="80"/>
      <c r="E1" s="80"/>
      <c r="F1" s="80"/>
      <c r="G1" s="80"/>
    </row>
    <row r="2" spans="1:7" ht="33" x14ac:dyDescent="0.2">
      <c r="A2" s="1" t="s">
        <v>36</v>
      </c>
      <c r="B2" s="1" t="s">
        <v>37</v>
      </c>
      <c r="C2" s="3" t="s">
        <v>63</v>
      </c>
      <c r="D2" s="1" t="s">
        <v>39</v>
      </c>
      <c r="E2" s="3" t="s">
        <v>40</v>
      </c>
      <c r="F2" s="3" t="s">
        <v>64</v>
      </c>
      <c r="G2" s="3" t="s">
        <v>65</v>
      </c>
    </row>
    <row r="3" spans="1:7" ht="16.5" x14ac:dyDescent="0.3">
      <c r="A3" s="11" t="s">
        <v>66</v>
      </c>
      <c r="B3" s="6" t="s">
        <v>67</v>
      </c>
      <c r="C3" s="5" t="s">
        <v>68</v>
      </c>
      <c r="D3" s="18">
        <v>0</v>
      </c>
      <c r="E3" s="15"/>
      <c r="F3" s="19">
        <f>D3*E3</f>
        <v>0</v>
      </c>
      <c r="G3" s="15">
        <v>0</v>
      </c>
    </row>
    <row r="4" spans="1:7" ht="16.5" x14ac:dyDescent="0.3">
      <c r="A4" s="11" t="s">
        <v>69</v>
      </c>
      <c r="B4" s="6" t="s">
        <v>67</v>
      </c>
      <c r="C4" s="5" t="s">
        <v>68</v>
      </c>
      <c r="D4" s="18"/>
      <c r="E4" s="16"/>
      <c r="F4" s="19">
        <f t="shared" ref="F4:F8" si="0">D4*E4</f>
        <v>0</v>
      </c>
      <c r="G4" s="16"/>
    </row>
    <row r="5" spans="1:7" ht="16.5" x14ac:dyDescent="0.2">
      <c r="A5" s="11" t="s">
        <v>70</v>
      </c>
      <c r="B5" s="6" t="s">
        <v>71</v>
      </c>
      <c r="C5" s="5" t="s">
        <v>68</v>
      </c>
      <c r="D5" s="20"/>
      <c r="E5" s="16"/>
      <c r="F5" s="19">
        <f t="shared" si="0"/>
        <v>0</v>
      </c>
      <c r="G5" s="16"/>
    </row>
    <row r="6" spans="1:7" ht="16.5" x14ac:dyDescent="0.3">
      <c r="A6" s="11" t="s">
        <v>72</v>
      </c>
      <c r="B6" s="6" t="s">
        <v>73</v>
      </c>
      <c r="C6" s="62"/>
      <c r="D6" s="18"/>
      <c r="E6" s="16"/>
      <c r="F6" s="19">
        <f>D6*E6</f>
        <v>0</v>
      </c>
      <c r="G6" s="16"/>
    </row>
    <row r="7" spans="1:7" ht="33" customHeight="1" x14ac:dyDescent="0.2">
      <c r="A7" s="11" t="s">
        <v>74</v>
      </c>
      <c r="B7" s="6" t="s">
        <v>75</v>
      </c>
      <c r="C7" s="5"/>
      <c r="D7" s="20"/>
      <c r="E7" s="16"/>
      <c r="F7" s="19">
        <f>D7*E7</f>
        <v>0</v>
      </c>
      <c r="G7" s="16"/>
    </row>
    <row r="8" spans="1:7" ht="33.75" thickBot="1" x14ac:dyDescent="0.35">
      <c r="A8" s="12" t="s">
        <v>76</v>
      </c>
      <c r="B8" s="29" t="s">
        <v>106</v>
      </c>
      <c r="C8" s="63"/>
      <c r="D8" s="21"/>
      <c r="E8" s="17"/>
      <c r="F8" s="22">
        <f t="shared" si="0"/>
        <v>0</v>
      </c>
      <c r="G8" s="17"/>
    </row>
    <row r="9" spans="1:7" ht="17.25" thickTop="1" x14ac:dyDescent="0.2">
      <c r="B9" s="4"/>
      <c r="C9" s="4"/>
      <c r="F9" s="7" t="s">
        <v>58</v>
      </c>
      <c r="G9" s="50">
        <f>SUM(G3:G8)</f>
        <v>0</v>
      </c>
    </row>
    <row r="10" spans="1:7" ht="16.5" x14ac:dyDescent="0.2">
      <c r="B10" s="4"/>
      <c r="C10" s="4"/>
      <c r="F10" s="7" t="s">
        <v>59</v>
      </c>
      <c r="G10" s="51">
        <f>G9*0.05</f>
        <v>0</v>
      </c>
    </row>
    <row r="11" spans="1:7" ht="16.5" x14ac:dyDescent="0.2">
      <c r="B11" s="4"/>
      <c r="C11" s="4"/>
      <c r="F11" s="7" t="s">
        <v>60</v>
      </c>
      <c r="G11" s="51">
        <f>SUM(G9:G10)</f>
        <v>0</v>
      </c>
    </row>
    <row r="12" spans="1:7" ht="15.75" x14ac:dyDescent="0.2">
      <c r="A12" s="4"/>
      <c r="B12" s="4"/>
      <c r="C12" s="4"/>
      <c r="F12" s="8"/>
    </row>
    <row r="14" spans="1:7" ht="17.25" customHeight="1" x14ac:dyDescent="0.2">
      <c r="A14" s="81" t="s">
        <v>61</v>
      </c>
      <c r="B14" s="81"/>
      <c r="C14" s="81"/>
    </row>
    <row r="15" spans="1:7" x14ac:dyDescent="0.2">
      <c r="A15" s="77"/>
      <c r="B15" s="78"/>
      <c r="C15" s="79"/>
    </row>
    <row r="16" spans="1:7" x14ac:dyDescent="0.2">
      <c r="A16" s="77"/>
      <c r="B16" s="78"/>
      <c r="C16" s="79"/>
    </row>
    <row r="17" spans="1:3" x14ac:dyDescent="0.2">
      <c r="A17" s="77"/>
      <c r="B17" s="78"/>
      <c r="C17" s="79"/>
    </row>
    <row r="18" spans="1:3" x14ac:dyDescent="0.2">
      <c r="A18" s="77"/>
      <c r="B18" s="78"/>
      <c r="C18" s="79"/>
    </row>
    <row r="19" spans="1:3" x14ac:dyDescent="0.2">
      <c r="A19" s="77"/>
      <c r="B19" s="78"/>
      <c r="C19" s="79"/>
    </row>
    <row r="20" spans="1:3" x14ac:dyDescent="0.2">
      <c r="A20" s="77"/>
      <c r="B20" s="78"/>
      <c r="C20" s="79"/>
    </row>
    <row r="21" spans="1:3" x14ac:dyDescent="0.2">
      <c r="A21" s="77"/>
      <c r="B21" s="78"/>
      <c r="C21" s="79"/>
    </row>
    <row r="22" spans="1:3" x14ac:dyDescent="0.2">
      <c r="A22" s="77"/>
      <c r="B22" s="78"/>
      <c r="C22" s="79"/>
    </row>
    <row r="23" spans="1:3" x14ac:dyDescent="0.2">
      <c r="A23" s="77"/>
      <c r="B23" s="78"/>
      <c r="C23" s="79"/>
    </row>
    <row r="24" spans="1:3" x14ac:dyDescent="0.2">
      <c r="A24" s="77"/>
      <c r="B24" s="78"/>
      <c r="C24" s="79"/>
    </row>
    <row r="25" spans="1:3" x14ac:dyDescent="0.2">
      <c r="A25" s="77"/>
      <c r="B25" s="78"/>
      <c r="C25" s="79"/>
    </row>
  </sheetData>
  <mergeCells count="13">
    <mergeCell ref="A25:C25"/>
    <mergeCell ref="A1:G1"/>
    <mergeCell ref="A19:C19"/>
    <mergeCell ref="A20:C20"/>
    <mergeCell ref="A21:C21"/>
    <mergeCell ref="A22:C22"/>
    <mergeCell ref="A23:C23"/>
    <mergeCell ref="A24:C24"/>
    <mergeCell ref="A14:C14"/>
    <mergeCell ref="A15:C15"/>
    <mergeCell ref="A16:C16"/>
    <mergeCell ref="A17:C17"/>
    <mergeCell ref="A18:C18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0BA6-AEDE-40CF-8F26-7783E15A5C9F}">
  <sheetPr codeName="Sheet4">
    <tabColor rgb="FF92D050"/>
  </sheetPr>
  <dimension ref="A1:F22"/>
  <sheetViews>
    <sheetView zoomScaleNormal="100" workbookViewId="0">
      <selection sqref="A1:F1"/>
    </sheetView>
  </sheetViews>
  <sheetFormatPr defaultRowHeight="15" x14ac:dyDescent="0.2"/>
  <cols>
    <col min="1" max="1" width="29.33203125" customWidth="1"/>
    <col min="2" max="2" width="46" customWidth="1"/>
    <col min="3" max="6" width="20.77734375" customWidth="1"/>
  </cols>
  <sheetData>
    <row r="1" spans="1:6" ht="25.9" customHeight="1" x14ac:dyDescent="0.2">
      <c r="A1" s="74" t="s">
        <v>77</v>
      </c>
      <c r="B1" s="74"/>
      <c r="C1" s="74"/>
      <c r="D1" s="74"/>
      <c r="E1" s="74"/>
      <c r="F1" s="74"/>
    </row>
    <row r="2" spans="1:6" ht="33" x14ac:dyDescent="0.2">
      <c r="A2" s="1" t="s">
        <v>36</v>
      </c>
      <c r="B2" s="1" t="s">
        <v>37</v>
      </c>
      <c r="C2" s="3" t="s">
        <v>78</v>
      </c>
      <c r="D2" s="3" t="s">
        <v>79</v>
      </c>
      <c r="E2" s="3" t="s">
        <v>40</v>
      </c>
      <c r="F2" s="3" t="s">
        <v>64</v>
      </c>
    </row>
    <row r="3" spans="1:6" ht="33" x14ac:dyDescent="0.2">
      <c r="A3" s="11" t="s">
        <v>80</v>
      </c>
      <c r="B3" s="6" t="s">
        <v>81</v>
      </c>
      <c r="C3" s="5" t="s">
        <v>68</v>
      </c>
      <c r="D3" s="23"/>
      <c r="E3" s="15"/>
      <c r="F3" s="19">
        <f>D3*E3</f>
        <v>0</v>
      </c>
    </row>
    <row r="4" spans="1:6" ht="33" x14ac:dyDescent="0.2">
      <c r="A4" s="11" t="s">
        <v>82</v>
      </c>
      <c r="B4" s="6" t="s">
        <v>83</v>
      </c>
      <c r="C4" s="5" t="s">
        <v>84</v>
      </c>
      <c r="D4" s="23"/>
      <c r="E4" s="16"/>
      <c r="F4" s="19">
        <f t="shared" ref="F4:F5" si="0">D4*E4</f>
        <v>0</v>
      </c>
    </row>
    <row r="5" spans="1:6" ht="25.9" customHeight="1" thickBot="1" x14ac:dyDescent="0.25">
      <c r="A5" s="12" t="s">
        <v>85</v>
      </c>
      <c r="B5" s="29" t="s">
        <v>108</v>
      </c>
      <c r="C5" s="10" t="s">
        <v>68</v>
      </c>
      <c r="D5" s="24"/>
      <c r="E5" s="25"/>
      <c r="F5" s="22">
        <f t="shared" si="0"/>
        <v>0</v>
      </c>
    </row>
    <row r="6" spans="1:6" ht="17.25" thickTop="1" x14ac:dyDescent="0.2">
      <c r="B6" s="4"/>
      <c r="C6" s="4"/>
      <c r="E6" s="7" t="s">
        <v>58</v>
      </c>
      <c r="F6" s="27">
        <f>SUM(F3:F5)</f>
        <v>0</v>
      </c>
    </row>
    <row r="7" spans="1:6" ht="16.5" x14ac:dyDescent="0.2">
      <c r="B7" s="4"/>
      <c r="C7" s="4"/>
      <c r="E7" s="7" t="s">
        <v>59</v>
      </c>
      <c r="F7" s="28">
        <f>F6*0.05</f>
        <v>0</v>
      </c>
    </row>
    <row r="8" spans="1:6" ht="16.5" x14ac:dyDescent="0.2">
      <c r="B8" s="4"/>
      <c r="C8" s="4"/>
      <c r="E8" s="7" t="s">
        <v>60</v>
      </c>
      <c r="F8" s="28">
        <f>SUM(F6:F7)</f>
        <v>0</v>
      </c>
    </row>
    <row r="9" spans="1:6" ht="15.75" x14ac:dyDescent="0.2">
      <c r="A9" s="4"/>
      <c r="B9" s="4"/>
      <c r="C9" s="4"/>
      <c r="F9" s="8"/>
    </row>
    <row r="11" spans="1:6" ht="17.25" customHeight="1" x14ac:dyDescent="0.2">
      <c r="A11" s="81" t="s">
        <v>61</v>
      </c>
      <c r="B11" s="81"/>
      <c r="C11" s="81"/>
    </row>
    <row r="12" spans="1:6" x14ac:dyDescent="0.2">
      <c r="A12" s="77"/>
      <c r="B12" s="78"/>
      <c r="C12" s="79"/>
    </row>
    <row r="13" spans="1:6" x14ac:dyDescent="0.2">
      <c r="A13" s="77"/>
      <c r="B13" s="78"/>
      <c r="C13" s="79"/>
    </row>
    <row r="14" spans="1:6" x14ac:dyDescent="0.2">
      <c r="A14" s="77"/>
      <c r="B14" s="78"/>
      <c r="C14" s="79"/>
    </row>
    <row r="15" spans="1:6" x14ac:dyDescent="0.2">
      <c r="A15" s="77"/>
      <c r="B15" s="78"/>
      <c r="C15" s="79"/>
    </row>
    <row r="16" spans="1:6" x14ac:dyDescent="0.2">
      <c r="A16" s="77"/>
      <c r="B16" s="78"/>
      <c r="C16" s="79"/>
    </row>
    <row r="17" spans="1:3" x14ac:dyDescent="0.2">
      <c r="A17" s="77"/>
      <c r="B17" s="78"/>
      <c r="C17" s="79"/>
    </row>
    <row r="18" spans="1:3" x14ac:dyDescent="0.2">
      <c r="A18" s="77"/>
      <c r="B18" s="78"/>
      <c r="C18" s="79"/>
    </row>
    <row r="19" spans="1:3" x14ac:dyDescent="0.2">
      <c r="A19" s="77"/>
      <c r="B19" s="78"/>
      <c r="C19" s="79"/>
    </row>
    <row r="20" spans="1:3" x14ac:dyDescent="0.2">
      <c r="A20" s="77"/>
      <c r="B20" s="78"/>
      <c r="C20" s="79"/>
    </row>
    <row r="21" spans="1:3" x14ac:dyDescent="0.2">
      <c r="A21" s="77"/>
      <c r="B21" s="78"/>
      <c r="C21" s="79"/>
    </row>
    <row r="22" spans="1:3" x14ac:dyDescent="0.2">
      <c r="A22" s="77"/>
      <c r="B22" s="78"/>
      <c r="C22" s="79"/>
    </row>
  </sheetData>
  <mergeCells count="13">
    <mergeCell ref="A14:C14"/>
    <mergeCell ref="A1:F1"/>
    <mergeCell ref="A11:C11"/>
    <mergeCell ref="A12:C12"/>
    <mergeCell ref="A13:C13"/>
    <mergeCell ref="A21:C21"/>
    <mergeCell ref="A22:C22"/>
    <mergeCell ref="A15:C15"/>
    <mergeCell ref="A16:C16"/>
    <mergeCell ref="A17:C17"/>
    <mergeCell ref="A18:C18"/>
    <mergeCell ref="A19:C19"/>
    <mergeCell ref="A20:C20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F29"/>
  <sheetViews>
    <sheetView zoomScaleNormal="100" workbookViewId="0">
      <selection sqref="A1:C1"/>
    </sheetView>
  </sheetViews>
  <sheetFormatPr defaultRowHeight="15" x14ac:dyDescent="0.2"/>
  <cols>
    <col min="1" max="1" width="26.33203125" customWidth="1"/>
    <col min="2" max="2" width="43.109375" customWidth="1"/>
    <col min="3" max="3" width="15.77734375" customWidth="1"/>
    <col min="4" max="4" width="10.21875" customWidth="1"/>
  </cols>
  <sheetData>
    <row r="1" spans="1:6" ht="28.9" customHeight="1" x14ac:dyDescent="0.2">
      <c r="A1" s="82" t="s">
        <v>86</v>
      </c>
      <c r="B1" s="83"/>
      <c r="C1" s="83"/>
    </row>
    <row r="2" spans="1:6" ht="33" x14ac:dyDescent="0.2">
      <c r="A2" s="1" t="s">
        <v>87</v>
      </c>
      <c r="B2" s="1" t="s">
        <v>88</v>
      </c>
      <c r="C2" s="1" t="s">
        <v>89</v>
      </c>
      <c r="F2" s="2" t="s">
        <v>90</v>
      </c>
    </row>
    <row r="3" spans="1:6" ht="16.5" x14ac:dyDescent="0.3">
      <c r="A3" s="11"/>
      <c r="B3" s="6"/>
      <c r="C3" s="64"/>
    </row>
    <row r="4" spans="1:6" ht="16.5" x14ac:dyDescent="0.2">
      <c r="A4" s="11"/>
      <c r="B4" s="11"/>
      <c r="C4" s="26"/>
    </row>
    <row r="5" spans="1:6" ht="16.5" x14ac:dyDescent="0.2">
      <c r="A5" s="11"/>
      <c r="B5" s="11"/>
      <c r="C5" s="26"/>
    </row>
    <row r="6" spans="1:6" ht="16.5" x14ac:dyDescent="0.2">
      <c r="A6" s="11"/>
      <c r="B6" s="11"/>
      <c r="C6" s="26"/>
    </row>
    <row r="7" spans="1:6" ht="16.5" x14ac:dyDescent="0.2">
      <c r="A7" s="11"/>
      <c r="B7" s="11"/>
      <c r="C7" s="26"/>
    </row>
    <row r="8" spans="1:6" ht="16.5" x14ac:dyDescent="0.2">
      <c r="A8" s="11"/>
      <c r="B8" s="11"/>
      <c r="C8" s="26"/>
    </row>
    <row r="9" spans="1:6" ht="16.5" x14ac:dyDescent="0.2">
      <c r="A9" s="11"/>
      <c r="B9" s="11"/>
      <c r="C9" s="26"/>
    </row>
    <row r="10" spans="1:6" ht="16.5" x14ac:dyDescent="0.2">
      <c r="A10" s="11"/>
      <c r="B10" s="11"/>
      <c r="C10" s="26"/>
    </row>
    <row r="11" spans="1:6" ht="16.5" x14ac:dyDescent="0.2">
      <c r="A11" s="11"/>
      <c r="B11" s="11"/>
      <c r="C11" s="26"/>
    </row>
    <row r="12" spans="1:6" ht="16.5" x14ac:dyDescent="0.2">
      <c r="A12" s="11"/>
      <c r="B12" s="11"/>
      <c r="C12" s="26"/>
    </row>
    <row r="13" spans="1:6" ht="16.5" x14ac:dyDescent="0.2">
      <c r="A13" s="11"/>
      <c r="B13" s="11"/>
      <c r="C13" s="26"/>
    </row>
    <row r="14" spans="1:6" ht="16.5" x14ac:dyDescent="0.2">
      <c r="A14" s="11"/>
      <c r="B14" s="11"/>
      <c r="C14" s="26"/>
    </row>
    <row r="15" spans="1:6" ht="16.5" x14ac:dyDescent="0.2">
      <c r="A15" s="11"/>
      <c r="B15" s="11"/>
      <c r="C15" s="26"/>
    </row>
    <row r="16" spans="1:6" ht="16.5" x14ac:dyDescent="0.3">
      <c r="A16" s="11"/>
      <c r="B16" s="6"/>
      <c r="C16" s="64"/>
    </row>
    <row r="18" spans="1:3" ht="17.25" customHeight="1" x14ac:dyDescent="0.2">
      <c r="A18" s="84" t="s">
        <v>61</v>
      </c>
      <c r="B18" s="84"/>
      <c r="C18" s="84"/>
    </row>
    <row r="19" spans="1:3" x14ac:dyDescent="0.2">
      <c r="A19" s="77"/>
      <c r="B19" s="78"/>
      <c r="C19" s="79"/>
    </row>
    <row r="20" spans="1:3" x14ac:dyDescent="0.2">
      <c r="A20" s="77"/>
      <c r="B20" s="78"/>
      <c r="C20" s="79"/>
    </row>
    <row r="21" spans="1:3" x14ac:dyDescent="0.2">
      <c r="A21" s="77"/>
      <c r="B21" s="78"/>
      <c r="C21" s="79"/>
    </row>
    <row r="22" spans="1:3" x14ac:dyDescent="0.2">
      <c r="A22" s="77"/>
      <c r="B22" s="78"/>
      <c r="C22" s="79"/>
    </row>
    <row r="23" spans="1:3" x14ac:dyDescent="0.2">
      <c r="A23" s="77"/>
      <c r="B23" s="78"/>
      <c r="C23" s="79"/>
    </row>
    <row r="24" spans="1:3" x14ac:dyDescent="0.2">
      <c r="A24" s="77"/>
      <c r="B24" s="78"/>
      <c r="C24" s="79"/>
    </row>
    <row r="25" spans="1:3" x14ac:dyDescent="0.2">
      <c r="A25" s="77"/>
      <c r="B25" s="78"/>
      <c r="C25" s="79"/>
    </row>
    <row r="26" spans="1:3" x14ac:dyDescent="0.2">
      <c r="A26" s="77"/>
      <c r="B26" s="78"/>
      <c r="C26" s="79"/>
    </row>
    <row r="27" spans="1:3" x14ac:dyDescent="0.2">
      <c r="A27" s="77"/>
      <c r="B27" s="78"/>
      <c r="C27" s="79"/>
    </row>
    <row r="28" spans="1:3" x14ac:dyDescent="0.2">
      <c r="A28" s="77"/>
      <c r="B28" s="78"/>
      <c r="C28" s="79"/>
    </row>
    <row r="29" spans="1:3" x14ac:dyDescent="0.2">
      <c r="A29" s="77"/>
      <c r="B29" s="78"/>
      <c r="C29" s="79"/>
    </row>
  </sheetData>
  <mergeCells count="13">
    <mergeCell ref="A22:C22"/>
    <mergeCell ref="A1:C1"/>
    <mergeCell ref="A19:C19"/>
    <mergeCell ref="A20:C20"/>
    <mergeCell ref="A21:C21"/>
    <mergeCell ref="A18:C18"/>
    <mergeCell ref="A29:C29"/>
    <mergeCell ref="A23:C23"/>
    <mergeCell ref="A24:C24"/>
    <mergeCell ref="A25:C25"/>
    <mergeCell ref="A26:C26"/>
    <mergeCell ref="A27:C27"/>
    <mergeCell ref="A28:C28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90BB-6EFB-4543-BB07-70D4A46F86C6}">
  <sheetPr codeName="Sheet5">
    <tabColor theme="0" tint="-0.249977111117893"/>
  </sheetPr>
  <dimension ref="A1:G10"/>
  <sheetViews>
    <sheetView showWhiteSpace="0" zoomScaleNormal="100" workbookViewId="0">
      <selection sqref="A1:G1"/>
    </sheetView>
  </sheetViews>
  <sheetFormatPr defaultRowHeight="15" x14ac:dyDescent="0.2"/>
  <cols>
    <col min="1" max="1" width="29.33203125" customWidth="1"/>
    <col min="2" max="7" width="20.77734375" customWidth="1"/>
  </cols>
  <sheetData>
    <row r="1" spans="1:7" ht="34.15" customHeight="1" x14ac:dyDescent="0.2">
      <c r="A1" s="90" t="s">
        <v>91</v>
      </c>
      <c r="B1" s="90"/>
      <c r="C1" s="90"/>
      <c r="D1" s="90"/>
      <c r="E1" s="90"/>
      <c r="F1" s="90"/>
      <c r="G1" s="90"/>
    </row>
    <row r="2" spans="1:7" ht="17.25" x14ac:dyDescent="0.2">
      <c r="A2" s="52"/>
      <c r="B2" s="53" t="s">
        <v>92</v>
      </c>
      <c r="C2" s="53" t="s">
        <v>93</v>
      </c>
      <c r="D2" s="53" t="s">
        <v>94</v>
      </c>
      <c r="E2" s="53" t="s">
        <v>95</v>
      </c>
      <c r="F2" s="53" t="s">
        <v>96</v>
      </c>
      <c r="G2" s="53" t="s">
        <v>97</v>
      </c>
    </row>
    <row r="3" spans="1:7" ht="17.25" x14ac:dyDescent="0.2">
      <c r="A3" s="54" t="s">
        <v>98</v>
      </c>
      <c r="B3" s="55">
        <f>'Implementation Costs'!F11</f>
        <v>0</v>
      </c>
      <c r="C3" s="56" t="s">
        <v>99</v>
      </c>
      <c r="D3" s="56" t="s">
        <v>99</v>
      </c>
      <c r="E3" s="56" t="s">
        <v>99</v>
      </c>
      <c r="F3" s="56" t="s">
        <v>99</v>
      </c>
      <c r="G3" s="56" t="s">
        <v>99</v>
      </c>
    </row>
    <row r="4" spans="1:7" ht="17.25" x14ac:dyDescent="0.2">
      <c r="A4" s="54" t="s">
        <v>100</v>
      </c>
      <c r="B4" s="57">
        <f>'Licensing Costs'!$G$9</f>
        <v>0</v>
      </c>
      <c r="C4" s="57">
        <f>'Licensing Costs'!$G$9</f>
        <v>0</v>
      </c>
      <c r="D4" s="57">
        <f>'Licensing Costs'!$G$9</f>
        <v>0</v>
      </c>
      <c r="E4" s="57">
        <f>'Licensing Costs'!$G$9</f>
        <v>0</v>
      </c>
      <c r="F4" s="57">
        <f>'Licensing Costs'!$G$9</f>
        <v>0</v>
      </c>
      <c r="G4" s="57">
        <f>'Licensing Costs'!$G$9</f>
        <v>0</v>
      </c>
    </row>
    <row r="5" spans="1:7" ht="18" thickBot="1" x14ac:dyDescent="0.25">
      <c r="A5" s="58" t="s">
        <v>101</v>
      </c>
      <c r="B5" s="59">
        <f>'Ongoing Operating Costs'!$F$6</f>
        <v>0</v>
      </c>
      <c r="C5" s="59">
        <f>'Ongoing Operating Costs'!$F$6</f>
        <v>0</v>
      </c>
      <c r="D5" s="59">
        <f>'Ongoing Operating Costs'!$F$6</f>
        <v>0</v>
      </c>
      <c r="E5" s="59">
        <f>'Ongoing Operating Costs'!$F$6</f>
        <v>0</v>
      </c>
      <c r="F5" s="59">
        <f>'Ongoing Operating Costs'!$F$6</f>
        <v>0</v>
      </c>
      <c r="G5" s="59">
        <f>'Ongoing Operating Costs'!$F$6</f>
        <v>0</v>
      </c>
    </row>
    <row r="6" spans="1:7" x14ac:dyDescent="0.2">
      <c r="A6" s="86" t="s">
        <v>102</v>
      </c>
      <c r="B6" s="88">
        <f>SUM(B3:B5)</f>
        <v>0</v>
      </c>
      <c r="C6" s="88">
        <f>SUM(C4:C5)</f>
        <v>0</v>
      </c>
      <c r="D6" s="88">
        <f t="shared" ref="D6:G6" si="0">SUM(D4:D5)</f>
        <v>0</v>
      </c>
      <c r="E6" s="88">
        <f t="shared" si="0"/>
        <v>0</v>
      </c>
      <c r="F6" s="88">
        <f t="shared" si="0"/>
        <v>0</v>
      </c>
      <c r="G6" s="88">
        <f t="shared" si="0"/>
        <v>0</v>
      </c>
    </row>
    <row r="7" spans="1:7" ht="15.75" thickBot="1" x14ac:dyDescent="0.25">
      <c r="A7" s="87"/>
      <c r="B7" s="89"/>
      <c r="C7" s="89"/>
      <c r="D7" s="89"/>
      <c r="E7" s="89"/>
      <c r="F7" s="89"/>
      <c r="G7" s="89"/>
    </row>
    <row r="8" spans="1:7" ht="16.5" thickTop="1" x14ac:dyDescent="0.2">
      <c r="A8" s="85" t="s">
        <v>103</v>
      </c>
      <c r="B8" s="85"/>
      <c r="C8" s="85"/>
      <c r="D8" s="85"/>
      <c r="E8" s="85"/>
      <c r="F8" s="85"/>
      <c r="G8" s="60">
        <f>SUM(B6,C6,D6,E6,F6,G6)</f>
        <v>0</v>
      </c>
    </row>
    <row r="9" spans="1:7" ht="15.75" x14ac:dyDescent="0.2">
      <c r="A9" s="85" t="s">
        <v>59</v>
      </c>
      <c r="B9" s="85"/>
      <c r="C9" s="85"/>
      <c r="D9" s="85"/>
      <c r="E9" s="85"/>
      <c r="F9" s="85"/>
      <c r="G9" s="61">
        <f>SUM(G8*0.05)</f>
        <v>0</v>
      </c>
    </row>
    <row r="10" spans="1:7" ht="15.75" x14ac:dyDescent="0.2">
      <c r="A10" s="85" t="s">
        <v>104</v>
      </c>
      <c r="B10" s="85"/>
      <c r="C10" s="85"/>
      <c r="D10" s="85"/>
      <c r="E10" s="85"/>
      <c r="F10" s="85"/>
      <c r="G10" s="61">
        <f>SUM(G8,G9)</f>
        <v>0</v>
      </c>
    </row>
  </sheetData>
  <mergeCells count="11">
    <mergeCell ref="A1:G1"/>
    <mergeCell ref="F6:F7"/>
    <mergeCell ref="G6:G7"/>
    <mergeCell ref="A8:F8"/>
    <mergeCell ref="A9:F9"/>
    <mergeCell ref="A10:F10"/>
    <mergeCell ref="A6:A7"/>
    <mergeCell ref="B6:B7"/>
    <mergeCell ref="C6:C7"/>
    <mergeCell ref="D6:D7"/>
    <mergeCell ref="E6:E7"/>
  </mergeCells>
  <pageMargins left="0.7" right="0.7" top="0.75" bottom="0.75" header="0.3" footer="0.3"/>
  <pageSetup orientation="portrait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62291C3434A94CACA5D564EE7A3C23" ma:contentTypeVersion="14" ma:contentTypeDescription="Create a new document." ma:contentTypeScope="" ma:versionID="0f76b5129b9301d3a4d0ca8e63105770">
  <xsd:schema xmlns:xsd="http://www.w3.org/2001/XMLSchema" xmlns:xs="http://www.w3.org/2001/XMLSchema" xmlns:p="http://schemas.microsoft.com/office/2006/metadata/properties" xmlns:ns2="de6a6bbb-7174-40e3-b4e1-49ee87c4ff28" xmlns:ns3="e1c54ba2-d711-4ba7-bc6d-8d3672b0c9ce" targetNamespace="http://schemas.microsoft.com/office/2006/metadata/properties" ma:root="true" ma:fieldsID="b9156f5e89765adb54af704d7be58f5d" ns2:_="" ns3:_="">
    <xsd:import namespace="de6a6bbb-7174-40e3-b4e1-49ee87c4ff28"/>
    <xsd:import namespace="e1c54ba2-d711-4ba7-bc6d-8d3672b0c9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a6bbb-7174-40e3-b4e1-49ee87c4f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9bcf63e-a3c9-4152-9824-bd26333d2b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54ba2-d711-4ba7-bc6d-8d3672b0c9c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a72944f-ad54-4a7d-aed1-04281de8ed2a}" ma:internalName="TaxCatchAll" ma:showField="CatchAllData" ma:web="e1c54ba2-d711-4ba7-bc6d-8d3672b0c9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6a6bbb-7174-40e3-b4e1-49ee87c4ff28">
      <Terms xmlns="http://schemas.microsoft.com/office/infopath/2007/PartnerControls"/>
    </lcf76f155ced4ddcb4097134ff3c332f>
    <TaxCatchAll xmlns="e1c54ba2-d711-4ba7-bc6d-8d3672b0c9ce" xsi:nil="true"/>
  </documentManagement>
</p:properties>
</file>

<file path=customXml/itemProps1.xml><?xml version="1.0" encoding="utf-8"?>
<ds:datastoreItem xmlns:ds="http://schemas.openxmlformats.org/officeDocument/2006/customXml" ds:itemID="{16761B4D-FE98-4C20-974E-18B96CB8F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6a6bbb-7174-40e3-b4e1-49ee87c4ff28"/>
    <ds:schemaRef ds:uri="e1c54ba2-d711-4ba7-bc6d-8d3672b0c9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B5A338-4993-4965-A425-602C1C12B0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9E292-AD8E-40E9-8535-E18B9FC2C60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de6a6bbb-7174-40e3-b4e1-49ee87c4ff28"/>
    <ds:schemaRef ds:uri="e1c54ba2-d711-4ba7-bc6d-8d3672b0c9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Implementation Costs</vt:lpstr>
      <vt:lpstr>Licensing Costs</vt:lpstr>
      <vt:lpstr>Ongoing Operating Costs</vt:lpstr>
      <vt:lpstr>Hourly Resource Rates</vt:lpstr>
      <vt:lpstr>5 Year Pricing Model</vt:lpstr>
    </vt:vector>
  </TitlesOfParts>
  <Manager/>
  <Company>City of Saskatoon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Francis, Ryan (CP - Information Technology)</dc:creator>
  <cp:keywords/>
  <dc:description/>
  <cp:lastModifiedBy>Soumya Ghosh</cp:lastModifiedBy>
  <cp:revision/>
  <dcterms:created xsi:type="dcterms:W3CDTF">2018-05-16T20:57:15Z</dcterms:created>
  <dcterms:modified xsi:type="dcterms:W3CDTF">2025-12-03T19:22:54Z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0x0101004B62291C3434A94CACA5D564EE7A3C23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13;#Kate Dergousoff;#76;#Elizabeth Vannan</vt:lpwstr>
  </property>
</Properties>
</file>