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mplementation Costs" sheetId="2" state="visible" r:id="rId4"/>
    <sheet name="Licensing Costs" sheetId="3" state="visible" r:id="rId5"/>
    <sheet name="Ongoing Operating Costs" sheetId="4" state="visible" r:id="rId6"/>
    <sheet name="Hourly Resource Rates" sheetId="5" state="visible" r:id="rId7"/>
    <sheet name="5 Year Pricing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<sst xmlns="http://schemas.openxmlformats.org/spreadsheetml/2006/main" count="182" uniqueCount="151">
  <si>
    <t xml:space="preserve">Instructions on How to Complete Pricing Form </t>
  </si>
  <si>
    <t xml:space="preserve">Estimated User Counts: to be used as a guideline for license costs</t>
  </si>
  <si>
    <t xml:space="preserve">Proponent must provide pricing information in the prescribed tab (green tabs) of the attached spreadsheet. </t>
  </si>
  <si>
    <t xml:space="preserve">High-level Functional Grouping</t>
  </si>
  <si>
    <t xml:space="preserve"># of Users</t>
  </si>
  <si>
    <t xml:space="preserve">1) </t>
  </si>
  <si>
    <t xml:space="preserve">Implementation Costs </t>
  </si>
  <si>
    <t xml:space="preserve">Customer Service</t>
  </si>
  <si>
    <t xml:space="preserve">2) </t>
  </si>
  <si>
    <t xml:space="preserve">License Costs</t>
  </si>
  <si>
    <t xml:space="preserve">Energy Marketers</t>
  </si>
  <si>
    <t xml:space="preserve">3) </t>
  </si>
  <si>
    <t xml:space="preserve">Ongoing Operating Costs</t>
  </si>
  <si>
    <t xml:space="preserve">Usage, Billing, &amp; Reporting</t>
  </si>
  <si>
    <t xml:space="preserve">4) </t>
  </si>
  <si>
    <t xml:space="preserve">Hourly Resource Rates </t>
  </si>
  <si>
    <t xml:space="preserve">Finance</t>
  </si>
  <si>
    <t xml:space="preserve">The 5-year pricing model will be automatically populated according to the numbers provided in the above tabs for UTILITYnet's consideration (excluding Hourly Resource Rates). </t>
  </si>
  <si>
    <t xml:space="preserve">Executive</t>
  </si>
  <si>
    <t xml:space="preserve">Italicized texts in blue are sample descriptions for the Proponent to write over with their own descriptions /units. Additional rows within each of the tabs may be added or deleted if required, but the spreadsheet categories must be maintained as provided.</t>
  </si>
  <si>
    <t xml:space="preserve">Pricing Definitions: </t>
  </si>
  <si>
    <t xml:space="preserve">a)</t>
  </si>
  <si>
    <t xml:space="preserve">Rates must be provided in Canadian dollars, inclusive of all applicable duties and taxes except for applicable sales taxes, which should be itemized separately.</t>
  </si>
  <si>
    <t xml:space="preserve">b)</t>
  </si>
  <si>
    <t xml:space="preserve">Rates quoted by the proponent must be all-inclusive and must include all labour and material costs, all travel and carriage costs, all insurance costs, all costs of delivery, all costs of installation and set-up, including any pre-delivery inspection charges, and all other overhead, including any fees or other charges required by law.</t>
  </si>
  <si>
    <t xml:space="preserve">c)</t>
  </si>
  <si>
    <t xml:space="preserve">Proponent should list all assumptions relevant to the pricing information that they are providing.</t>
  </si>
  <si>
    <t xml:space="preserve">d)</t>
  </si>
  <si>
    <t xml:space="preserve">Proponent must provide pricing details on all components of their integration platform that is being proposed as part of their response to this RFP.  </t>
  </si>
  <si>
    <t xml:space="preserve">e)</t>
  </si>
  <si>
    <t xml:space="preserve">Estimated user counts provided below must be used for all license pricing. </t>
  </si>
  <si>
    <t xml:space="preserve">Definitions: </t>
  </si>
  <si>
    <t xml:space="preserve">Unit: Define the unit for each item (e.g., per project, per hour, per session, per day, etc.).</t>
  </si>
  <si>
    <t xml:space="preserve">Cost per Unit: Specify the cost per unit.</t>
  </si>
  <si>
    <t xml:space="preserve">Quantity: Indicate the quantity required (e.g., number of hours, days, sessions, trips, or projects).</t>
  </si>
  <si>
    <t xml:space="preserve">Item Subtotal: Calculate the subtotal for the Item/Service category.  Multiply the cost per unit by the quantity to get the total cost for each item.</t>
  </si>
  <si>
    <t xml:space="preserve">(License only) Item Yearly Subtotal: Calculate the annual subtotal for the License item (if the Unit/Duration is not calculated by annual cost). </t>
  </si>
  <si>
    <t xml:space="preserve">Implementation Services Cost</t>
  </si>
  <si>
    <t xml:space="preserve">Item/Service</t>
  </si>
  <si>
    <t xml:space="preserve">Description</t>
  </si>
  <si>
    <t xml:space="preserve">Unit</t>
  </si>
  <si>
    <t xml:space="preserve">Cost per Unit (excluding tax)</t>
  </si>
  <si>
    <t xml:space="preserve">Quantity</t>
  </si>
  <si>
    <t xml:space="preserve">Item Subtotal</t>
  </si>
  <si>
    <t xml:space="preserve">Initial Configuration &amp; Setup</t>
  </si>
  <si>
    <t xml:space="preserve">Sage Intacct platform setup, AWS Canada infrastructure provisioning, Phase 0 solution design and architecture decision, vendor selection, and baseline system configuration.</t>
  </si>
  <si>
    <t xml:space="preserve">Per Project</t>
  </si>
  <si>
    <t xml:space="preserve">Data Migration</t>
  </si>
  <si>
    <t xml:space="preserve">Oracle PL/SQL business logic extraction (AI-assisted via LegacyLift), Sage 50 historical financial data migration, data profiling, cleansing, mapping, and validation across all customer and financial records.</t>
  </si>
  <si>
    <t xml:space="preserve">Customization &amp; Custom Development</t>
  </si>
  <si>
    <t xml:space="preserve">Custom billing engine for partner marketer channel, CEM portal, self-service rate management, settlement reconciliation module, hedging dashboard, carbon credit tracking, VL Trader integration replacement, and AESO data pipeline.</t>
  </si>
  <si>
    <t xml:space="preserve">Project Management</t>
  </si>
  <si>
    <t xml:space="preserve">Dedicated Project Director across all phases; weekly governance cadence, stakeholder reporting, risk management, change control, milestone tracking, and executive steering committee support.</t>
  </si>
  <si>
    <t xml:space="preserve">Change Management &amp; User Adoption</t>
  </si>
  <si>
    <t xml:space="preserve">Role-based training programs, user documentation, knowledge transfer workshops at each phase gate, and capability transfer to UTILITYnet's internal business owner and IT team.</t>
  </si>
  <si>
    <t xml:space="preserve">Post-Implementation Support (Hypercare)</t>
  </si>
  <si>
    <t xml:space="preserve">4-week intensive hypercare period immediately following each phase go-live; includes dedicated on-call support, real-time issue triage, and stabilization monitoring across Phases 1, 2, and 3.</t>
  </si>
  <si>
    <t xml:space="preserve">Reimbursable Costs</t>
  </si>
  <si>
    <t xml:space="preserve">Travel and accommodation for Calgary on-site engagements (estimated 12 trips over program duration, Boston-Calgary). All travel pre-approved by UTILITYnet prior to booking.</t>
  </si>
  <si>
    <t xml:space="preserve">Per Trip/Expense</t>
  </si>
  <si>
    <t xml:space="preserve">Subtotal </t>
  </si>
  <si>
    <t xml:space="preserve">Applicable GST</t>
  </si>
  <si>
    <t xml:space="preserve">Total</t>
  </si>
  <si>
    <t xml:space="preserve">Comments / Assumptions</t>
  </si>
  <si>
    <t xml:space="preserve">1. All prices are in Canadian dollars (CAD), exclusive of applicable GST.</t>
  </si>
  <si>
    <t xml:space="preserve">2. Phase-gated delivery: Phase 0 (Discovery) is fixed-price and the only commitment requested at signing. Phase 1–3 pricing confirmed following Phase 0 findings within ±15–20% variance.</t>
  </si>
  <si>
    <t xml:space="preserve">3. Customization estimate based on full Phase 0–3 scope. Final fixed-price commitments issued per SOW at each phase gate.</t>
  </si>
  <si>
    <t xml:space="preserve">4. Reimbursable costs are estimated. Only pre-approved expenses will be invoiced.</t>
  </si>
  <si>
    <t xml:space="preserve">5. No offshore resources. All delivery by senior Gnar/FractalShift staff based in North America.</t>
  </si>
  <si>
    <t xml:space="preserve">6. UTILITYnet provides timely access to subject-matter experts, existing system documentation, and business stakeholders. Delays in access may affect timeline.</t>
  </si>
  <si>
    <t xml:space="preserve">7. Exchange rate reference: 1 USD = 1.37 CAD (February 2026). Platform license costs normalized to CAD.</t>
  </si>
  <si>
    <t xml:space="preserve">Software Licensing Options and Cost (Annual) </t>
  </si>
  <si>
    <t xml:space="preserve">Unit (Duration)</t>
  </si>
  <si>
    <t xml:space="preserve"> Item Subtotal</t>
  </si>
  <si>
    <t xml:space="preserve">Item Yearly Subtotal</t>
  </si>
  <si>
    <t xml:space="preserve">Sage Intacct Enterprise License</t>
  </si>
  <si>
    <t xml:space="preserve">Full Sage Intacct suite: GL, AP, AR, bank reconciliation, financial reporting, payroll integration, and multi-entity support. 38 named users across all functional groups.</t>
  </si>
  <si>
    <t xml:space="preserve">Monthly</t>
  </si>
  <si>
    <t xml:space="preserve">AWS Canada (ca-central-1) Infrastructure</t>
  </si>
  <si>
    <t xml:space="preserve">Cloud hosting for all platform components in AWS Montreal region (ca-central-1). Includes compute, storage, database, networking, monitoring, and security services. All UTILITYnet data remains in Canada.</t>
  </si>
  <si>
    <t xml:space="preserve">FractalShift Platform License (Birdseye + Watchdog OS)</t>
  </si>
  <si>
    <t xml:space="preserve">Annual license for Birdseye conversational analytics engine and Watchdog OS AI reliability layer. Embedded throughout the platform for conversational data access, predictive analytics, and autonomous drift correction.</t>
  </si>
  <si>
    <t xml:space="preserve">Third-Party Integration Licenses</t>
  </si>
  <si>
    <t xml:space="preserve">Annual costs for VoIP platform (RingCentral/Teams Phone), email service provider (Constant Contact integration), TransUnion credit API, and AESO data feed subscriptions.</t>
  </si>
  <si>
    <t xml:space="preserve">Document Management Integration</t>
  </si>
  <si>
    <t xml:space="preserve">SharePoint / Google Drive / OneDrive integration middleware for document storage, versioning, and customer record association. Annual subscription.</t>
  </si>
  <si>
    <t xml:space="preserve">Yearly</t>
  </si>
  <si>
    <t xml:space="preserve">1. All license pricing in CAD. USD-denominated licenses converted at 1 USD = 1.37 CAD.</t>
  </si>
  <si>
    <t xml:space="preserve">2. Sage Intacct pricing based on 38 named users: 15 Customer Service, 3 Energy Marketers, 10 Billing/Ops, 5 Finance, 5 Executive.</t>
  </si>
  <si>
    <t xml:space="preserve">3. AWS hosting estimate based on projected workloads; includes auto-scaling capacity. Actual costs may vary with usage.</t>
  </si>
  <si>
    <t xml:space="preserve">4. FractalShift license includes Birdseye conversational analytics and Watchdog OS AI layer for the full platform.</t>
  </si>
  <si>
    <t xml:space="preserve">5. Third-party licenses are estimates; final costs confirmed in Phase 0 vendor selection process.</t>
  </si>
  <si>
    <t xml:space="preserve">6. Annual license costs begin at Phase 1 go-live. Pre-go-live infrastructure costs included in Implementation Costs.</t>
  </si>
  <si>
    <t xml:space="preserve">Ongoing Operating Costs Separate from Licensing (Annual)</t>
  </si>
  <si>
    <t xml:space="preserve">Unit (Duration) </t>
  </si>
  <si>
    <t xml:space="preserve">Cost per Unit 
(excluding tax)</t>
  </si>
  <si>
    <t xml:space="preserve">Managed Services Retainer (Post Go-Live)</t>
  </si>
  <si>
    <t xml:space="preserve">Full vendor-managed operations: Tier 1–3 help desk (business hours + 24/7 critical), platform monitoring, incident response, release management, integration maintenance, bug fixes, regulatory report execution, and proactive performance optimization. Annual contract, renewable.</t>
  </si>
  <si>
    <t xml:space="preserve">Ongoing Training</t>
  </si>
  <si>
    <t xml:space="preserve">Two annual training sessions for UTILITYnet staff (refresher training, onboarding for new hires, and platform update walkthroughs). Includes session facilitation and updated training materials.</t>
  </si>
  <si>
    <t xml:space="preserve">Per Session</t>
  </si>
  <si>
    <t xml:space="preserve">Monthly/Yearly</t>
  </si>
  <si>
    <t xml:space="preserve">1. Managed Services retainer begins at Phase 1 go-live. Scope expands at each subsequent phase go-live.</t>
  </si>
  <si>
    <t xml:space="preserve">2. Managed Services is an annual contract, renewed each year. New feature development is scoped separately via addendum SOW.</t>
  </si>
  <si>
    <t xml:space="preserve">3. SLA tiers: P1 Critical (30-min response, 4-hr resolution), P2 High (2-hr response, 1 business day resolution), P3 Medium (4-hr response, 3 business days), P4 Low (1 business day response, next sprint).</t>
  </si>
  <si>
    <t xml:space="preserve">4. Training sessions scheduled at UTILITYnet's discretion; additional sessions available at hourly resource rates.</t>
  </si>
  <si>
    <t xml:space="preserve">Resource Rates</t>
  </si>
  <si>
    <t xml:space="preserve">Resource Type</t>
  </si>
  <si>
    <t xml:space="preserve">Resource Description</t>
  </si>
  <si>
    <t xml:space="preserve">Hourly Rate (excluding tax)</t>
  </si>
  <si>
    <t xml:space="preserve">`</t>
  </si>
  <si>
    <t xml:space="preserve">Project Director</t>
  </si>
  <si>
    <t xml:space="preserve">Responsible for overall engagement governance, executive client relationship, risk management, and delivery accountability across all phases.</t>
  </si>
  <si>
    <t xml:space="preserve">AI Strategy Lead / Solution Architect (FractalShift)</t>
  </si>
  <si>
    <t xml:space="preserve">AI-native architecture design, LegacyLift Oracle PL/SQL extraction, Birdseye and Watchdog OS integration, and AI roadmap delivery.</t>
  </si>
  <si>
    <t xml:space="preserve">Finance Systems Lead (Sage Intacct)</t>
  </si>
  <si>
    <t xml:space="preserve">Sage Intacct implementation specialist; GL/AP/AR configuration, data migration, finance integration, and reporting setup.</t>
  </si>
  <si>
    <t xml:space="preserve">Senior Integration Engineer</t>
  </si>
  <si>
    <t xml:space="preserve">API design and build, VL Trader integration, AESO data feeds, RBC payment systems, and third-party platform integrations.</t>
  </si>
  <si>
    <t xml:space="preserve">Senior Full-Stack Engineer</t>
  </si>
  <si>
    <t xml:space="preserve">Core platform development, billing engine, CEM portal, MyAccount portal, and custom module development.</t>
  </si>
  <si>
    <t xml:space="preserve">AI/ML Engineer (FractalShift)</t>
  </si>
  <si>
    <t xml:space="preserve">Machine learning model development, Watchdog OS configuration, predictive analytics, and agentic workflow implementation.</t>
  </si>
  <si>
    <t xml:space="preserve">QA Lead</t>
  </si>
  <si>
    <t xml:space="preserve">Test strategy, test automation, performance validation, regression testing, and go-live readiness sign-off.</t>
  </si>
  <si>
    <t xml:space="preserve">Front-End Engineer</t>
  </si>
  <si>
    <t xml:space="preserve">UI/UX implementation for MyAccount portal, CEM portal, enrollment flows, and customer-facing components.</t>
  </si>
  <si>
    <t xml:space="preserve">Business Analyst</t>
  </si>
  <si>
    <t xml:space="preserve">Requirements documentation, process mapping, user story development, and stakeholder workshop facilitation.</t>
  </si>
  <si>
    <t xml:space="preserve">Client Success Manager</t>
  </si>
  <si>
    <t xml:space="preserve">Day-to-day client communication, issue escalation, managed services coordination, and relationship health monitoring.</t>
  </si>
  <si>
    <t xml:space="preserve">Junior Software Engineer</t>
  </si>
  <si>
    <t xml:space="preserve">Feature development support, unit testing, bug fixing, and documentation under senior engineer supervision.</t>
  </si>
  <si>
    <t xml:space="preserve">1. Hourly rates are in Canadian dollars (CAD), exclusive of GST.</t>
  </si>
  <si>
    <t xml:space="preserve">2. Rates apply to out-of-scope work ordered via change request or addendum SOW. In-scope work is covered under fixed-price phase commitments.</t>
  </si>
  <si>
    <t xml:space="preserve">3. Minimum billing increment: 2 hours per engagement.</t>
  </si>
  <si>
    <t xml:space="preserve">5 Year Pricing Model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</si>
  <si>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</si>
  <si>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</si>
  <si>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</si>
  <si>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</si>
  <si>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</si>
  <si>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</si>
  <si>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One-time Implementation Cost </t>
  </si>
  <si>
    <t xml:space="preserve">n/a</t>
  </si>
  <si>
    <t xml:space="preserve">Software Licensing Costs </t>
  </si>
  <si>
    <t xml:space="preserve">On-going Operating Costs</t>
  </si>
  <si>
    <t xml:space="preserve">Total Year Costs</t>
  </si>
  <si>
    <t xml:space="preserve">5 Year Subtotal</t>
  </si>
  <si>
    <t xml:space="preserve">5 Year Grand Total</t>
  </si>
  <si>
    <t xml:space="preserve">Note: GST (5%) shown separately. All prices in Canadian dollars. Implementation pricing is phase-gated; final fixed-price commitments issued post-Discovery.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</si>
</sst>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"/>
    <numFmt numFmtId="166" formatCode="_(\$* #,##0.00_);_(\$* \(#,##0.00\);_(\$* \-??_);_(@_)"/>
    <numFmt numFmtId="167" formatCode="\$#,##0"/>
    <numFmt numFmtId="168" formatCode="_-\$* #,##0.00_-;&quot;-$&quot;* #,##0.00_-;_-\$* \-??_-;_-@_-"/>
    <numFmt numFmtId="169" formatCode="\$#,##0&quot;/hr&quot;"/>
  </numFmts>
  <fonts count="30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Segoe UI Semilight"/>
      <family val="2"/>
      <charset val="1"/>
    </font>
    <font>
      <sz val="11"/>
      <color theme="1"/>
      <name val="Segoe UI Semilight"/>
      <family val="2"/>
      <charset val="1"/>
    </font>
    <font>
      <b val="true"/>
      <sz val="14"/>
      <color theme="1"/>
      <name val="Segoe UI Semilight"/>
      <family val="2"/>
      <charset val="1"/>
    </font>
    <font>
      <b val="true"/>
      <sz val="12"/>
      <color theme="1"/>
      <name val="Segoe UI Semilight"/>
      <family val="2"/>
      <charset val="1"/>
    </font>
    <font>
      <b val="true"/>
      <sz val="11"/>
      <color theme="1"/>
      <name val="Segoe UI Semilight"/>
      <family val="2"/>
      <charset val="1"/>
    </font>
    <font>
      <b val="true"/>
      <sz val="11"/>
      <color rgb="FFFFFFFF"/>
      <name val="Segoe UI Semibold"/>
      <family val="2"/>
      <charset val="1"/>
    </font>
    <font>
      <b val="true"/>
      <sz val="11"/>
      <color theme="1"/>
      <name val="Segoe UI Semibold"/>
      <family val="2"/>
      <charset val="1"/>
    </font>
    <font>
      <b val="true"/>
      <sz val="11"/>
      <name val="Segoe UI Semibold"/>
      <family val="2"/>
      <charset val="1"/>
    </font>
    <font>
      <i val="true"/>
      <sz val="11"/>
      <name val="Segoe UI Semilight"/>
      <family val="2"/>
      <charset val="1"/>
    </font>
    <font>
      <i val="true"/>
      <sz val="11"/>
      <color rgb="FF0000CC"/>
      <name val="Segoe UI Semilight"/>
      <family val="2"/>
      <charset val="1"/>
    </font>
    <font>
      <sz val="10"/>
      <color rgb="FF1F497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theme="1"/>
      <name val="Segoe UI Semilight"/>
      <family val="2"/>
      <charset val="1"/>
    </font>
    <font>
      <sz val="11"/>
      <name val="Segoe UI Semilight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2"/>
      <color rgb="FFFFFFFF"/>
      <name val="Segoe UI Semibold"/>
      <family val="2"/>
      <charset val="1"/>
    </font>
    <font>
      <b val="true"/>
      <sz val="10"/>
      <color rgb="FF1B1C1D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sz val="13"/>
      <color rgb="FF1B1C1D"/>
      <name val="Arial"/>
      <family val="0"/>
      <charset val="1"/>
    </font>
    <font>
      <sz val="12"/>
      <color theme="1"/>
      <name val="Segoe UI Semibold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2"/>
      <color theme="1"/>
      <name val="Segoe UI Semibold"/>
      <family val="2"/>
      <charset val="1"/>
    </font>
    <font>
      <sz val="10"/>
      <color rgb="FF1F6B1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0000"/>
        <bgColor rgb="FF0F1313"/>
      </patternFill>
    </fill>
    <fill>
      <patternFill patternType="solid">
        <fgColor theme="0" tint="-0.05"/>
        <bgColor rgb="FFFFFFFF"/>
      </patternFill>
    </fill>
    <fill>
      <patternFill patternType="solid">
        <fgColor theme="1"/>
        <bgColor rgb="FF1B1C1D"/>
      </patternFill>
    </fill>
    <fill>
      <patternFill patternType="solid">
        <fgColor rgb="FFFF9900"/>
        <bgColor rgb="FFFFCC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6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4" borderId="6" xfId="17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4" borderId="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7" fillId="4" borderId="8" xfId="17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9" fillId="4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9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5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4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7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4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6" xfId="1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9" fillId="4" borderId="2" xfId="17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9" fillId="4" borderId="6" xfId="17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4" borderId="6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8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3" fillId="4" borderId="6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4" borderId="6" xfId="1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6" xfId="1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6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8" fillId="4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8" fillId="4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F131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55555"/>
      <rgbColor rgb="FF969696"/>
      <rgbColor rgb="FF003366"/>
      <rgbColor rgb="FF339966"/>
      <rgbColor rgb="FF0F1313"/>
      <rgbColor rgb="FF333300"/>
      <rgbColor rgb="FF993300"/>
      <rgbColor rgb="FF993366"/>
      <rgbColor rgb="FF1F497D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G3:H9" headerRowCount="1" totalsRowCount="0" totalsRowShown="0">
  <autoFilter ref="G3:H9"/>
  <tableColumns count="2">
    <tableColumn id="1" name="High-level Functional Grouping"/>
    <tableColumn id="2" name="# of Users"/>
  </tableColumns>
</table>
</file>

<file path=xl/theme/theme1.xml><?xml version="1.0" encoding="utf-8"?>
<a:theme xmlns:a="http://schemas.openxmlformats.org/drawingml/2006/main" xmlns:r="http://schemas.openxmlformats.org/officeDocument/2006/relationships" name="MNP2021">
  <a:themeElements>
    <a:clrScheme name="MNP - July 2020">
      <a:dk1>
        <a:srgbClr val="0f1313"/>
      </a:dk1>
      <a:lt1>
        <a:srgbClr val="ffffff"/>
      </a:lt1>
      <a:dk2>
        <a:srgbClr val="0f3c4f"/>
      </a:dk2>
      <a:lt2>
        <a:srgbClr val="f2f2f2"/>
      </a:lt2>
      <a:accent1>
        <a:srgbClr val="0f3c4f"/>
      </a:accent1>
      <a:accent2>
        <a:srgbClr val="035244"/>
      </a:accent2>
      <a:accent3>
        <a:srgbClr val="0c3343"/>
      </a:accent3>
      <a:accent4>
        <a:srgbClr val="ef5a27"/>
      </a:accent4>
      <a:accent5>
        <a:srgbClr val="107f8a"/>
      </a:accent5>
      <a:accent6>
        <a:srgbClr val="0f1313"/>
      </a:accent6>
      <a:hlink>
        <a:srgbClr val="ef5a27"/>
      </a:hlink>
      <a:folHlink>
        <a:srgbClr val="ef5a27"/>
      </a:folHlink>
    </a:clrScheme>
    <a:fontScheme name="MNP - Fonts - Jun2020">
      <a:majorFont>
        <a:latin typeface="Segoe UI Semibold" pitchFamily="0" charset="1"/>
        <a:ea typeface=""/>
        <a:cs typeface=""/>
      </a:majorFont>
      <a:minorFont>
        <a:latin typeface="Segoe UI Semilight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B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7.25" zeroHeight="false" outlineLevelRow="0" outlineLevelCol="0"/>
  <cols>
    <col collapsed="false" customWidth="true" hidden="false" outlineLevel="0" max="2" min="1" style="1" width="2.11"/>
    <col collapsed="false" customWidth="true" hidden="false" outlineLevel="0" max="3" min="3" style="1" width="4"/>
    <col collapsed="false" customWidth="true" hidden="false" outlineLevel="0" max="4" min="4" style="1" width="78.89"/>
    <col collapsed="false" customWidth="true" hidden="false" outlineLevel="0" max="5" min="5" style="1" width="1.89"/>
    <col collapsed="false" customWidth="false" hidden="false" outlineLevel="0" max="6" min="6" style="1" width="8.77"/>
    <col collapsed="false" customWidth="true" hidden="false" outlineLevel="0" max="7" min="7" style="1" width="31.56"/>
    <col collapsed="false" customWidth="true" hidden="false" outlineLevel="0" max="8" min="8" style="1" width="11.66"/>
    <col collapsed="false" customWidth="false" hidden="false" outlineLevel="0" max="16384" min="9" style="1" width="8.77"/>
  </cols>
  <sheetData>
    <row r="1" customFormat="false" ht="17.25" hidden="false" customHeight="false" outlineLevel="0" collapsed="false">
      <c r="H1" s="2"/>
    </row>
    <row r="2" customFormat="false" ht="20.25" hidden="false" customHeight="true" outlineLevel="0" collapsed="false">
      <c r="B2" s="3"/>
      <c r="C2" s="4" t="s">
        <v>0</v>
      </c>
      <c r="D2" s="4"/>
      <c r="G2" s="1" t="s">
        <v>1</v>
      </c>
    </row>
    <row r="3" customFormat="false" ht="18" hidden="false" customHeight="true" outlineLevel="0" collapsed="false">
      <c r="B3" s="5"/>
      <c r="C3" s="6" t="s">
        <v>2</v>
      </c>
      <c r="D3" s="6"/>
      <c r="G3" s="7" t="s">
        <v>3</v>
      </c>
      <c r="H3" s="8" t="s">
        <v>4</v>
      </c>
    </row>
    <row r="4" customFormat="false" ht="17.25" hidden="false" customHeight="false" outlineLevel="0" collapsed="false">
      <c r="B4" s="5"/>
      <c r="C4" s="9" t="s">
        <v>5</v>
      </c>
      <c r="D4" s="10" t="s">
        <v>6</v>
      </c>
      <c r="G4" s="11" t="s">
        <v>7</v>
      </c>
      <c r="H4" s="12" t="n">
        <v>15</v>
      </c>
    </row>
    <row r="5" customFormat="false" ht="17.25" hidden="false" customHeight="false" outlineLevel="0" collapsed="false">
      <c r="B5" s="5"/>
      <c r="C5" s="9" t="s">
        <v>8</v>
      </c>
      <c r="D5" s="10" t="s">
        <v>9</v>
      </c>
      <c r="G5" s="11" t="s">
        <v>10</v>
      </c>
      <c r="H5" s="12" t="n">
        <v>3</v>
      </c>
    </row>
    <row r="6" customFormat="false" ht="17.25" hidden="false" customHeight="false" outlineLevel="0" collapsed="false">
      <c r="B6" s="5"/>
      <c r="C6" s="9" t="s">
        <v>11</v>
      </c>
      <c r="D6" s="10" t="s">
        <v>12</v>
      </c>
      <c r="G6" s="11" t="s">
        <v>13</v>
      </c>
      <c r="H6" s="12" t="n">
        <v>10</v>
      </c>
    </row>
    <row r="7" customFormat="false" ht="17.25" hidden="false" customHeight="false" outlineLevel="0" collapsed="false">
      <c r="B7" s="5"/>
      <c r="C7" s="9" t="s">
        <v>14</v>
      </c>
      <c r="D7" s="10" t="s">
        <v>15</v>
      </c>
      <c r="G7" s="11" t="s">
        <v>16</v>
      </c>
      <c r="H7" s="12" t="n">
        <v>5</v>
      </c>
    </row>
    <row r="8" customFormat="false" ht="42.75" hidden="false" customHeight="true" outlineLevel="0" collapsed="false">
      <c r="B8" s="5"/>
      <c r="C8" s="13" t="s">
        <v>17</v>
      </c>
      <c r="D8" s="13"/>
      <c r="G8" s="14" t="s">
        <v>18</v>
      </c>
      <c r="H8" s="15" t="n">
        <v>5</v>
      </c>
    </row>
    <row r="9" customFormat="false" ht="30" hidden="false" customHeight="true" outlineLevel="0" collapsed="false">
      <c r="B9" s="5"/>
      <c r="C9" s="6" t="s">
        <v>19</v>
      </c>
      <c r="D9" s="6"/>
      <c r="G9" s="14"/>
      <c r="H9" s="15"/>
    </row>
    <row r="10" customFormat="false" ht="27" hidden="false" customHeight="true" outlineLevel="0" collapsed="false">
      <c r="B10" s="5"/>
      <c r="C10" s="6"/>
      <c r="D10" s="6"/>
      <c r="G10" s="16"/>
      <c r="H10" s="16"/>
    </row>
    <row r="11" customFormat="false" ht="18" hidden="false" customHeight="true" outlineLevel="0" collapsed="false">
      <c r="B11" s="5"/>
      <c r="C11" s="6"/>
      <c r="D11" s="6"/>
      <c r="G11" s="16"/>
      <c r="H11" s="16"/>
    </row>
    <row r="12" customFormat="false" ht="15" hidden="false" customHeight="true" outlineLevel="0" collapsed="false">
      <c r="B12" s="5"/>
      <c r="C12" s="17"/>
      <c r="D12" s="17"/>
      <c r="G12" s="18"/>
      <c r="H12" s="19"/>
    </row>
    <row r="13" customFormat="false" ht="18" hidden="false" customHeight="true" outlineLevel="0" collapsed="false">
      <c r="B13" s="5"/>
      <c r="C13" s="20" t="s">
        <v>20</v>
      </c>
      <c r="D13" s="20"/>
      <c r="H13" s="21"/>
    </row>
    <row r="14" customFormat="false" ht="34.5" hidden="false" customHeight="true" outlineLevel="0" collapsed="false">
      <c r="B14" s="5"/>
      <c r="C14" s="22" t="s">
        <v>21</v>
      </c>
      <c r="D14" s="10" t="s">
        <v>22</v>
      </c>
      <c r="G14" s="16"/>
      <c r="H14" s="16"/>
    </row>
    <row r="15" customFormat="false" ht="69" hidden="false" customHeight="true" outlineLevel="0" collapsed="false">
      <c r="B15" s="5"/>
      <c r="C15" s="22" t="s">
        <v>23</v>
      </c>
      <c r="D15" s="10" t="s">
        <v>24</v>
      </c>
    </row>
    <row r="16" s="16" customFormat="true" ht="15.75" hidden="false" customHeight="true" outlineLevel="0" collapsed="false">
      <c r="B16" s="23"/>
      <c r="C16" s="22" t="s">
        <v>25</v>
      </c>
      <c r="D16" s="10" t="s">
        <v>26</v>
      </c>
      <c r="G16" s="1"/>
      <c r="H16" s="1"/>
    </row>
    <row r="17" customFormat="false" ht="34.5" hidden="false" customHeight="true" outlineLevel="0" collapsed="false">
      <c r="B17" s="5"/>
      <c r="C17" s="22" t="s">
        <v>27</v>
      </c>
      <c r="D17" s="10" t="s">
        <v>28</v>
      </c>
    </row>
    <row r="18" customFormat="false" ht="17.25" hidden="false" customHeight="false" outlineLevel="0" collapsed="false">
      <c r="C18" s="22" t="s">
        <v>29</v>
      </c>
      <c r="D18" s="10" t="s">
        <v>30</v>
      </c>
    </row>
    <row r="20" customFormat="false" ht="17.25" hidden="false" customHeight="true" outlineLevel="0" collapsed="false">
      <c r="C20" s="24" t="s">
        <v>31</v>
      </c>
      <c r="D20" s="24"/>
    </row>
    <row r="21" customFormat="false" ht="29.85" hidden="false" customHeight="false" outlineLevel="0" collapsed="false">
      <c r="D21" s="10" t="s">
        <v>32</v>
      </c>
    </row>
    <row r="22" customFormat="false" ht="17.25" hidden="false" customHeight="false" outlineLevel="0" collapsed="false">
      <c r="D22" s="10" t="s">
        <v>33</v>
      </c>
    </row>
    <row r="23" customFormat="false" ht="15" hidden="false" customHeight="true" outlineLevel="0" collapsed="false">
      <c r="D23" s="10" t="s">
        <v>34</v>
      </c>
    </row>
    <row r="24" customFormat="false" ht="34.5" hidden="false" customHeight="true" outlineLevel="0" collapsed="false">
      <c r="D24" s="10" t="s">
        <v>35</v>
      </c>
    </row>
    <row r="25" customFormat="false" ht="34.5" hidden="false" customHeight="true" outlineLevel="0" collapsed="false">
      <c r="D25" s="10" t="s">
        <v>36</v>
      </c>
    </row>
  </sheetData>
  <mergeCells count="6">
    <mergeCell ref="C2:D2"/>
    <mergeCell ref="C3:D3"/>
    <mergeCell ref="C8:D8"/>
    <mergeCell ref="C9:D11"/>
    <mergeCell ref="C13:D13"/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6" min="3" style="0" width="14"/>
  </cols>
  <sheetData>
    <row r="1" customFormat="false" ht="40.5" hidden="false" customHeight="true" outlineLevel="0" collapsed="false">
      <c r="A1" s="25" t="s">
        <v>37</v>
      </c>
      <c r="B1" s="25"/>
      <c r="C1" s="25"/>
      <c r="D1" s="25"/>
      <c r="E1" s="25"/>
      <c r="F1" s="25"/>
    </row>
    <row r="2" customFormat="false" ht="33" hidden="false" customHeight="true" outlineLevel="0" collapsed="false">
      <c r="A2" s="26" t="s">
        <v>38</v>
      </c>
      <c r="B2" s="26" t="s">
        <v>39</v>
      </c>
      <c r="C2" s="26" t="s">
        <v>40</v>
      </c>
      <c r="D2" s="26" t="s">
        <v>41</v>
      </c>
      <c r="E2" s="27" t="s">
        <v>42</v>
      </c>
      <c r="F2" s="27" t="s">
        <v>43</v>
      </c>
    </row>
    <row r="3" customFormat="false" ht="16.5" hidden="false" customHeight="true" outlineLevel="0" collapsed="false">
      <c r="A3" s="28" t="s">
        <v>44</v>
      </c>
      <c r="B3" s="29" t="s">
        <v>45</v>
      </c>
      <c r="C3" s="30" t="s">
        <v>46</v>
      </c>
      <c r="D3" s="31" t="n">
        <v>540000</v>
      </c>
      <c r="E3" s="32" t="n">
        <v>1</v>
      </c>
      <c r="F3" s="33" t="n">
        <f aca="false">D3*E3</f>
        <v>540000</v>
      </c>
    </row>
    <row r="4" customFormat="false" ht="33" hidden="false" customHeight="true" outlineLevel="0" collapsed="false">
      <c r="A4" s="28" t="s">
        <v>47</v>
      </c>
      <c r="B4" s="29" t="s">
        <v>48</v>
      </c>
      <c r="C4" s="30" t="s">
        <v>46</v>
      </c>
      <c r="D4" s="31" t="n">
        <v>380000</v>
      </c>
      <c r="E4" s="32" t="n">
        <v>1</v>
      </c>
      <c r="F4" s="33" t="n">
        <f aca="false">D4*E4</f>
        <v>380000</v>
      </c>
    </row>
    <row r="5" customFormat="false" ht="16.5" hidden="false" customHeight="true" outlineLevel="0" collapsed="false">
      <c r="A5" s="28" t="s">
        <v>49</v>
      </c>
      <c r="B5" s="29" t="s">
        <v>50</v>
      </c>
      <c r="C5" s="30" t="s">
        <v>46</v>
      </c>
      <c r="D5" s="31" t="n">
        <v>980000</v>
      </c>
      <c r="E5" s="32" t="n">
        <v>1</v>
      </c>
      <c r="F5" s="33" t="n">
        <f aca="false">D5*E5</f>
        <v>980000</v>
      </c>
    </row>
    <row r="6" customFormat="false" ht="16.5" hidden="false" customHeight="true" outlineLevel="0" collapsed="false">
      <c r="A6" s="28" t="s">
        <v>51</v>
      </c>
      <c r="B6" s="29" t="s">
        <v>52</v>
      </c>
      <c r="C6" s="30" t="s">
        <v>46</v>
      </c>
      <c r="D6" s="31" t="n">
        <v>345600</v>
      </c>
      <c r="E6" s="32" t="n">
        <v>1</v>
      </c>
      <c r="F6" s="33" t="n">
        <f aca="false">D6*E6</f>
        <v>345600</v>
      </c>
    </row>
    <row r="7" customFormat="false" ht="16.5" hidden="false" customHeight="true" outlineLevel="0" collapsed="false">
      <c r="A7" s="28" t="s">
        <v>53</v>
      </c>
      <c r="B7" s="29" t="s">
        <v>54</v>
      </c>
      <c r="C7" s="30" t="s">
        <v>46</v>
      </c>
      <c r="D7" s="31" t="n">
        <v>230400</v>
      </c>
      <c r="E7" s="34" t="n">
        <v>1</v>
      </c>
      <c r="F7" s="33" t="n">
        <f aca="false">D7*E7</f>
        <v>230400</v>
      </c>
    </row>
    <row r="8" customFormat="false" ht="33" hidden="false" customHeight="true" outlineLevel="0" collapsed="false">
      <c r="A8" s="28" t="s">
        <v>55</v>
      </c>
      <c r="B8" s="29" t="s">
        <v>56</v>
      </c>
      <c r="C8" s="30" t="s">
        <v>46</v>
      </c>
      <c r="D8" s="31" t="n">
        <v>230000</v>
      </c>
      <c r="E8" s="32" t="n">
        <v>1</v>
      </c>
      <c r="F8" s="33" t="n">
        <f aca="false">D8*E8</f>
        <v>230000</v>
      </c>
    </row>
    <row r="9" customFormat="false" ht="16.5" hidden="false" customHeight="true" outlineLevel="0" collapsed="false">
      <c r="A9" s="28" t="s">
        <v>57</v>
      </c>
      <c r="B9" s="29" t="s">
        <v>58</v>
      </c>
      <c r="C9" s="30" t="s">
        <v>59</v>
      </c>
      <c r="D9" s="31" t="n">
        <v>14500</v>
      </c>
      <c r="E9" s="32" t="n">
        <v>12</v>
      </c>
      <c r="F9" s="33" t="n">
        <f aca="false">D9*E9</f>
        <v>174000</v>
      </c>
    </row>
    <row r="10" customFormat="false" ht="17.25" hidden="false" customHeight="true" outlineLevel="0" collapsed="false">
      <c r="A10" s="35"/>
      <c r="B10" s="36"/>
      <c r="C10" s="37"/>
      <c r="D10" s="38"/>
      <c r="E10" s="39"/>
      <c r="F10" s="40" t="n">
        <f aca="false">D10*E10</f>
        <v>0</v>
      </c>
    </row>
    <row r="11" customFormat="false" ht="17.25" hidden="false" customHeight="true" outlineLevel="0" collapsed="false">
      <c r="B11" s="41"/>
      <c r="C11" s="41"/>
      <c r="E11" s="42" t="s">
        <v>60</v>
      </c>
      <c r="F11" s="43" t="n">
        <f aca="false">SUM(F3:F10)</f>
        <v>2880000</v>
      </c>
    </row>
    <row r="12" customFormat="false" ht="16.5" hidden="false" customHeight="true" outlineLevel="0" collapsed="false">
      <c r="B12" s="41"/>
      <c r="C12" s="41"/>
      <c r="E12" s="42" t="s">
        <v>61</v>
      </c>
      <c r="F12" s="44" t="n">
        <f aca="false">F11*0.05</f>
        <v>144000</v>
      </c>
    </row>
    <row r="13" customFormat="false" ht="16.5" hidden="false" customHeight="true" outlineLevel="0" collapsed="false">
      <c r="A13" s="41"/>
      <c r="B13" s="41"/>
      <c r="C13" s="41"/>
      <c r="E13" s="42" t="s">
        <v>62</v>
      </c>
      <c r="F13" s="44" t="n">
        <f aca="false">SUM(F11:F12)</f>
        <v>3024000</v>
      </c>
    </row>
    <row r="15" customFormat="false" ht="16.5" hidden="false" customHeight="true" outlineLevel="0" collapsed="false">
      <c r="A15" s="45" t="s">
        <v>63</v>
      </c>
      <c r="B15" s="45"/>
    </row>
    <row r="16" customFormat="false" ht="18" hidden="false" customHeight="true" outlineLevel="0" collapsed="false">
      <c r="A16" s="46" t="s">
        <v>64</v>
      </c>
      <c r="B16" s="46"/>
    </row>
    <row r="17" customFormat="false" ht="18" hidden="false" customHeight="true" outlineLevel="0" collapsed="false">
      <c r="A17" s="46" t="s">
        <v>65</v>
      </c>
      <c r="B17" s="46"/>
    </row>
    <row r="18" customFormat="false" ht="18" hidden="false" customHeight="true" outlineLevel="0" collapsed="false">
      <c r="A18" s="46" t="s">
        <v>66</v>
      </c>
      <c r="B18" s="46"/>
    </row>
    <row r="19" customFormat="false" ht="18" hidden="false" customHeight="true" outlineLevel="0" collapsed="false">
      <c r="A19" s="46" t="s">
        <v>67</v>
      </c>
      <c r="B19" s="46"/>
    </row>
    <row r="20" customFormat="false" ht="18" hidden="false" customHeight="true" outlineLevel="0" collapsed="false">
      <c r="A20" s="46" t="s">
        <v>68</v>
      </c>
      <c r="B20" s="46"/>
    </row>
    <row r="21" customFormat="false" ht="18" hidden="false" customHeight="true" outlineLevel="0" collapsed="false">
      <c r="A21" s="46" t="s">
        <v>69</v>
      </c>
      <c r="B21" s="46"/>
    </row>
    <row r="22" customFormat="false" ht="18" hidden="false" customHeight="true" outlineLevel="0" collapsed="false">
      <c r="A22" s="46" t="s">
        <v>70</v>
      </c>
      <c r="B22" s="46"/>
    </row>
    <row r="23" customFormat="false" ht="15" hidden="false" customHeight="false" outlineLevel="0" collapsed="false">
      <c r="A23" s="47"/>
      <c r="B23" s="47"/>
    </row>
    <row r="24" customFormat="false" ht="15" hidden="false" customHeight="false" outlineLevel="0" collapsed="false">
      <c r="A24" s="47"/>
      <c r="B24" s="47"/>
    </row>
    <row r="25" customFormat="false" ht="15" hidden="false" customHeight="false" outlineLevel="0" collapsed="false">
      <c r="A25" s="47"/>
      <c r="B25" s="47"/>
    </row>
    <row r="26" customFormat="false" ht="15" hidden="false" customHeight="false" outlineLevel="0" collapsed="false">
      <c r="A26" s="47"/>
      <c r="B26" s="47"/>
    </row>
  </sheetData>
  <mergeCells count="13">
    <mergeCell ref="A1:F1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7" min="4" style="0" width="18"/>
  </cols>
  <sheetData>
    <row r="1" customFormat="false" ht="27" hidden="false" customHeight="true" outlineLevel="0" collapsed="false">
      <c r="A1" s="25" t="s">
        <v>71</v>
      </c>
      <c r="B1" s="25"/>
      <c r="C1" s="25"/>
      <c r="D1" s="25"/>
      <c r="E1" s="25"/>
      <c r="F1" s="25"/>
      <c r="G1" s="25"/>
    </row>
    <row r="2" customFormat="false" ht="33" hidden="false" customHeight="true" outlineLevel="0" collapsed="false">
      <c r="A2" s="26" t="s">
        <v>38</v>
      </c>
      <c r="B2" s="26" t="s">
        <v>39</v>
      </c>
      <c r="C2" s="27" t="s">
        <v>72</v>
      </c>
      <c r="D2" s="26" t="s">
        <v>41</v>
      </c>
      <c r="E2" s="27" t="s">
        <v>42</v>
      </c>
      <c r="F2" s="27" t="s">
        <v>73</v>
      </c>
      <c r="G2" s="27" t="s">
        <v>74</v>
      </c>
    </row>
    <row r="3" customFormat="false" ht="16.5" hidden="false" customHeight="true" outlineLevel="0" collapsed="false">
      <c r="A3" s="48" t="s">
        <v>75</v>
      </c>
      <c r="B3" s="29" t="s">
        <v>76</v>
      </c>
      <c r="C3" s="30" t="s">
        <v>77</v>
      </c>
      <c r="D3" s="31" t="n">
        <v>5700</v>
      </c>
      <c r="E3" s="49" t="n">
        <v>12</v>
      </c>
      <c r="F3" s="50" t="n">
        <f aca="false">D3*E3</f>
        <v>68400</v>
      </c>
      <c r="G3" s="51" t="n">
        <v>68400</v>
      </c>
    </row>
    <row r="4" customFormat="false" ht="16.5" hidden="false" customHeight="true" outlineLevel="0" collapsed="false">
      <c r="A4" s="48" t="s">
        <v>78</v>
      </c>
      <c r="B4" s="29" t="s">
        <v>79</v>
      </c>
      <c r="C4" s="30" t="s">
        <v>77</v>
      </c>
      <c r="D4" s="31" t="n">
        <v>3000</v>
      </c>
      <c r="E4" s="52" t="n">
        <v>12</v>
      </c>
      <c r="F4" s="50" t="n">
        <f aca="false">D4*E4</f>
        <v>36000</v>
      </c>
      <c r="G4" s="53" t="n">
        <v>36000</v>
      </c>
    </row>
    <row r="5" customFormat="false" ht="16.5" hidden="false" customHeight="true" outlineLevel="0" collapsed="false">
      <c r="A5" s="48" t="s">
        <v>80</v>
      </c>
      <c r="B5" s="29" t="s">
        <v>81</v>
      </c>
      <c r="C5" s="30" t="s">
        <v>77</v>
      </c>
      <c r="D5" s="54" t="n">
        <v>4000</v>
      </c>
      <c r="E5" s="52" t="n">
        <v>12</v>
      </c>
      <c r="F5" s="50" t="n">
        <f aca="false">D5*E5</f>
        <v>48000</v>
      </c>
      <c r="G5" s="53" t="n">
        <v>48000</v>
      </c>
    </row>
    <row r="6" customFormat="false" ht="16.5" hidden="false" customHeight="true" outlineLevel="0" collapsed="false">
      <c r="A6" s="48" t="s">
        <v>82</v>
      </c>
      <c r="B6" s="29" t="s">
        <v>83</v>
      </c>
      <c r="C6" s="55" t="s">
        <v>77</v>
      </c>
      <c r="D6" s="31" t="n">
        <v>1200</v>
      </c>
      <c r="E6" s="52" t="n">
        <v>12</v>
      </c>
      <c r="F6" s="50" t="n">
        <f aca="false">D6*E6</f>
        <v>14400</v>
      </c>
      <c r="G6" s="53" t="n">
        <v>14400</v>
      </c>
    </row>
    <row r="7" customFormat="false" ht="33" hidden="false" customHeight="true" outlineLevel="0" collapsed="false">
      <c r="A7" s="48" t="s">
        <v>84</v>
      </c>
      <c r="B7" s="29" t="s">
        <v>85</v>
      </c>
      <c r="C7" s="30" t="s">
        <v>86</v>
      </c>
      <c r="D7" s="54" t="n">
        <v>6000</v>
      </c>
      <c r="E7" s="52" t="n">
        <v>1</v>
      </c>
      <c r="F7" s="50" t="n">
        <f aca="false">D7*E7</f>
        <v>6000</v>
      </c>
      <c r="G7" s="53" t="n">
        <v>6000</v>
      </c>
    </row>
    <row r="8" customFormat="false" ht="33.75" hidden="false" customHeight="true" outlineLevel="0" collapsed="false">
      <c r="A8" s="56"/>
      <c r="B8" s="57"/>
      <c r="C8" s="58"/>
      <c r="D8" s="38"/>
      <c r="E8" s="39"/>
      <c r="F8" s="59" t="n">
        <f aca="false">D8*E8</f>
        <v>0</v>
      </c>
      <c r="G8" s="39"/>
    </row>
    <row r="9" customFormat="false" ht="17.25" hidden="false" customHeight="true" outlineLevel="0" collapsed="false">
      <c r="B9" s="41"/>
      <c r="C9" s="41"/>
      <c r="F9" s="42" t="s">
        <v>60</v>
      </c>
      <c r="G9" s="60" t="n">
        <f aca="false">SUM(G3:G8)</f>
        <v>172800</v>
      </c>
    </row>
    <row r="10" customFormat="false" ht="16.5" hidden="false" customHeight="true" outlineLevel="0" collapsed="false">
      <c r="B10" s="41"/>
      <c r="C10" s="41"/>
      <c r="F10" s="42" t="s">
        <v>61</v>
      </c>
      <c r="G10" s="61" t="n">
        <f aca="false">G9*0.05</f>
        <v>8640</v>
      </c>
    </row>
    <row r="11" customFormat="false" ht="16.5" hidden="false" customHeight="true" outlineLevel="0" collapsed="false">
      <c r="B11" s="41"/>
      <c r="C11" s="41"/>
      <c r="F11" s="42" t="s">
        <v>62</v>
      </c>
      <c r="G11" s="61" t="n">
        <f aca="false">SUM(G9:G10)</f>
        <v>181440</v>
      </c>
    </row>
    <row r="12" customFormat="false" ht="15.75" hidden="false" customHeight="true" outlineLevel="0" collapsed="false">
      <c r="A12" s="41"/>
      <c r="B12" s="41"/>
      <c r="C12" s="41"/>
      <c r="F12" s="62"/>
    </row>
    <row r="14" customFormat="false" ht="17.25" hidden="false" customHeight="true" outlineLevel="0" collapsed="false">
      <c r="A14" s="63" t="s">
        <v>63</v>
      </c>
      <c r="B14" s="63"/>
      <c r="C14" s="63"/>
    </row>
    <row r="15" customFormat="false" ht="15" hidden="false" customHeight="false" outlineLevel="0" collapsed="false">
      <c r="A15" s="46" t="s">
        <v>87</v>
      </c>
      <c r="B15" s="46"/>
      <c r="C15" s="46"/>
    </row>
    <row r="16" customFormat="false" ht="15" hidden="false" customHeight="false" outlineLevel="0" collapsed="false">
      <c r="A16" s="46" t="s">
        <v>88</v>
      </c>
      <c r="B16" s="46"/>
      <c r="C16" s="46"/>
    </row>
    <row r="17" customFormat="false" ht="15" hidden="false" customHeight="false" outlineLevel="0" collapsed="false">
      <c r="A17" s="46" t="s">
        <v>89</v>
      </c>
      <c r="B17" s="46"/>
      <c r="C17" s="46"/>
    </row>
    <row r="18" customFormat="false" ht="15" hidden="false" customHeight="false" outlineLevel="0" collapsed="false">
      <c r="A18" s="46" t="s">
        <v>90</v>
      </c>
      <c r="B18" s="46"/>
      <c r="C18" s="46"/>
    </row>
    <row r="19" customFormat="false" ht="15" hidden="false" customHeight="false" outlineLevel="0" collapsed="false">
      <c r="A19" s="46" t="s">
        <v>91</v>
      </c>
      <c r="B19" s="46"/>
      <c r="C19" s="46"/>
    </row>
    <row r="20" customFormat="false" ht="15" hidden="false" customHeight="false" outlineLevel="0" collapsed="false">
      <c r="A20" s="46" t="s">
        <v>92</v>
      </c>
      <c r="B20" s="46"/>
      <c r="C20" s="46"/>
    </row>
    <row r="21" customFormat="false" ht="15" hidden="false" customHeight="false" outlineLevel="0" collapsed="false">
      <c r="A21" s="47"/>
      <c r="B21" s="47"/>
      <c r="C21" s="47"/>
    </row>
    <row r="22" customFormat="false" ht="15" hidden="false" customHeight="false" outlineLevel="0" collapsed="false">
      <c r="A22" s="47"/>
      <c r="B22" s="47"/>
      <c r="C22" s="47"/>
    </row>
    <row r="23" customFormat="false" ht="15" hidden="false" customHeight="false" outlineLevel="0" collapsed="false">
      <c r="A23" s="47"/>
      <c r="B23" s="47"/>
      <c r="C23" s="47"/>
    </row>
    <row r="24" customFormat="false" ht="15" hidden="false" customHeight="false" outlineLevel="0" collapsed="false">
      <c r="A24" s="47"/>
      <c r="B24" s="47"/>
      <c r="C24" s="47"/>
    </row>
    <row r="25" customFormat="false" ht="15" hidden="false" customHeight="false" outlineLevel="0" collapsed="false">
      <c r="A25" s="47"/>
      <c r="B25" s="47"/>
      <c r="C25" s="47"/>
    </row>
  </sheetData>
  <mergeCells count="13">
    <mergeCell ref="A1:G1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6" min="3" style="0" width="14"/>
  </cols>
  <sheetData>
    <row r="1" customFormat="false" ht="25.5" hidden="false" customHeight="true" outlineLevel="0" collapsed="false">
      <c r="A1" s="25" t="s">
        <v>93</v>
      </c>
      <c r="B1" s="25"/>
      <c r="C1" s="25"/>
      <c r="D1" s="25"/>
      <c r="E1" s="25"/>
      <c r="F1" s="25"/>
    </row>
    <row r="2" customFormat="false" ht="33" hidden="false" customHeight="true" outlineLevel="0" collapsed="false">
      <c r="A2" s="26" t="s">
        <v>38</v>
      </c>
      <c r="B2" s="26" t="s">
        <v>39</v>
      </c>
      <c r="C2" s="27" t="s">
        <v>94</v>
      </c>
      <c r="D2" s="27" t="s">
        <v>95</v>
      </c>
      <c r="E2" s="27" t="s">
        <v>42</v>
      </c>
      <c r="F2" s="27" t="s">
        <v>73</v>
      </c>
    </row>
    <row r="3" customFormat="false" ht="33" hidden="false" customHeight="true" outlineLevel="0" collapsed="false">
      <c r="A3" s="48" t="s">
        <v>96</v>
      </c>
      <c r="B3" s="29" t="s">
        <v>97</v>
      </c>
      <c r="C3" s="30" t="s">
        <v>77</v>
      </c>
      <c r="D3" s="64" t="n">
        <v>41000</v>
      </c>
      <c r="E3" s="49" t="n">
        <v>12</v>
      </c>
      <c r="F3" s="65" t="n">
        <f aca="false">D3*E3</f>
        <v>492000</v>
      </c>
    </row>
    <row r="4" customFormat="false" ht="33" hidden="false" customHeight="true" outlineLevel="0" collapsed="false">
      <c r="A4" s="48" t="s">
        <v>98</v>
      </c>
      <c r="B4" s="29" t="s">
        <v>99</v>
      </c>
      <c r="C4" s="30" t="s">
        <v>100</v>
      </c>
      <c r="D4" s="64" t="n">
        <v>2500</v>
      </c>
      <c r="E4" s="52" t="n">
        <v>2</v>
      </c>
      <c r="F4" s="65" t="n">
        <f aca="false">D4*E4</f>
        <v>5000</v>
      </c>
    </row>
    <row r="5" customFormat="false" ht="25.5" hidden="false" customHeight="true" outlineLevel="0" collapsed="false">
      <c r="A5" s="56"/>
      <c r="B5" s="57"/>
      <c r="C5" s="66" t="s">
        <v>101</v>
      </c>
      <c r="D5" s="67"/>
      <c r="E5" s="68"/>
      <c r="F5" s="59" t="n">
        <f aca="false">D5*E5</f>
        <v>0</v>
      </c>
    </row>
    <row r="6" customFormat="false" ht="17.25" hidden="false" customHeight="true" outlineLevel="0" collapsed="false">
      <c r="B6" s="41"/>
      <c r="C6" s="41"/>
      <c r="E6" s="42" t="s">
        <v>60</v>
      </c>
      <c r="F6" s="43" t="n">
        <f aca="false">SUM(F3:F5)</f>
        <v>497000</v>
      </c>
    </row>
    <row r="7" customFormat="false" ht="16.5" hidden="false" customHeight="true" outlineLevel="0" collapsed="false">
      <c r="B7" s="41"/>
      <c r="C7" s="41"/>
      <c r="E7" s="42" t="s">
        <v>61</v>
      </c>
      <c r="F7" s="44" t="n">
        <f aca="false">F6*0.05</f>
        <v>24850</v>
      </c>
    </row>
    <row r="8" customFormat="false" ht="16.5" hidden="false" customHeight="true" outlineLevel="0" collapsed="false">
      <c r="B8" s="41"/>
      <c r="C8" s="41"/>
      <c r="E8" s="42" t="s">
        <v>62</v>
      </c>
      <c r="F8" s="44" t="n">
        <f aca="false">SUM(F6:F7)</f>
        <v>521850</v>
      </c>
    </row>
    <row r="9" customFormat="false" ht="15.75" hidden="false" customHeight="true" outlineLevel="0" collapsed="false">
      <c r="A9" s="41"/>
      <c r="B9" s="41"/>
      <c r="C9" s="41"/>
      <c r="F9" s="62"/>
    </row>
    <row r="11" customFormat="false" ht="17.25" hidden="false" customHeight="true" outlineLevel="0" collapsed="false">
      <c r="A11" s="63" t="s">
        <v>63</v>
      </c>
      <c r="B11" s="63"/>
      <c r="C11" s="63"/>
    </row>
    <row r="12" customFormat="false" ht="15" hidden="false" customHeight="false" outlineLevel="0" collapsed="false">
      <c r="A12" s="46" t="s">
        <v>102</v>
      </c>
      <c r="B12" s="46"/>
      <c r="C12" s="46"/>
    </row>
    <row r="13" customFormat="false" ht="15" hidden="false" customHeight="false" outlineLevel="0" collapsed="false">
      <c r="A13" s="46" t="s">
        <v>103</v>
      </c>
      <c r="B13" s="46"/>
      <c r="C13" s="46"/>
    </row>
    <row r="14" customFormat="false" ht="15" hidden="false" customHeight="false" outlineLevel="0" collapsed="false">
      <c r="A14" s="46" t="s">
        <v>104</v>
      </c>
      <c r="B14" s="46"/>
      <c r="C14" s="46"/>
    </row>
    <row r="15" customFormat="false" ht="15" hidden="false" customHeight="false" outlineLevel="0" collapsed="false">
      <c r="A15" s="46" t="s">
        <v>105</v>
      </c>
      <c r="B15" s="46"/>
      <c r="C15" s="46"/>
    </row>
    <row r="16" customFormat="false" ht="15" hidden="false" customHeight="false" outlineLevel="0" collapsed="false">
      <c r="A16" s="47"/>
      <c r="B16" s="47"/>
      <c r="C16" s="47"/>
    </row>
    <row r="17" customFormat="false" ht="15" hidden="false" customHeight="false" outlineLevel="0" collapsed="false">
      <c r="A17" s="47"/>
      <c r="B17" s="47"/>
      <c r="C17" s="47"/>
    </row>
    <row r="18" customFormat="false" ht="15" hidden="false" customHeight="false" outlineLevel="0" collapsed="false">
      <c r="A18" s="47"/>
      <c r="B18" s="47"/>
      <c r="C18" s="47"/>
    </row>
    <row r="19" customFormat="false" ht="15" hidden="false" customHeight="false" outlineLevel="0" collapsed="false">
      <c r="A19" s="47"/>
      <c r="B19" s="47"/>
      <c r="C19" s="47"/>
    </row>
    <row r="20" customFormat="false" ht="15" hidden="false" customHeight="false" outlineLevel="0" collapsed="false">
      <c r="A20" s="47"/>
      <c r="B20" s="47"/>
      <c r="C20" s="47"/>
    </row>
    <row r="21" customFormat="false" ht="15" hidden="false" customHeight="false" outlineLevel="0" collapsed="false">
      <c r="A21" s="47"/>
      <c r="B21" s="47"/>
      <c r="C21" s="47"/>
    </row>
    <row r="22" customFormat="false" ht="15" hidden="false" customHeight="false" outlineLevel="0" collapsed="false">
      <c r="A22" s="47"/>
      <c r="B22" s="47"/>
      <c r="C22" s="47"/>
    </row>
  </sheetData>
  <mergeCells count="13">
    <mergeCell ref="A1:F1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0.22"/>
  </cols>
  <sheetData>
    <row r="1" customFormat="false" ht="28.5" hidden="false" customHeight="true" outlineLevel="0" collapsed="false">
      <c r="A1" s="69" t="s">
        <v>106</v>
      </c>
      <c r="B1" s="69"/>
      <c r="C1" s="69"/>
    </row>
    <row r="2" customFormat="false" ht="33" hidden="false" customHeight="true" outlineLevel="0" collapsed="false">
      <c r="A2" s="26" t="s">
        <v>107</v>
      </c>
      <c r="B2" s="26" t="s">
        <v>108</v>
      </c>
      <c r="C2" s="26" t="s">
        <v>109</v>
      </c>
      <c r="F2" s="70" t="s">
        <v>110</v>
      </c>
    </row>
    <row r="3" customFormat="false" ht="31.5" hidden="false" customHeight="true" outlineLevel="0" collapsed="false">
      <c r="A3" s="71" t="s">
        <v>111</v>
      </c>
      <c r="B3" s="72" t="s">
        <v>112</v>
      </c>
      <c r="C3" s="73" t="n">
        <v>225</v>
      </c>
    </row>
    <row r="4" customFormat="false" ht="31.5" hidden="false" customHeight="true" outlineLevel="0" collapsed="false">
      <c r="A4" s="71" t="s">
        <v>113</v>
      </c>
      <c r="B4" s="72" t="s">
        <v>114</v>
      </c>
      <c r="C4" s="74" t="n">
        <v>210</v>
      </c>
    </row>
    <row r="5" customFormat="false" ht="31.5" hidden="false" customHeight="true" outlineLevel="0" collapsed="false">
      <c r="A5" s="71" t="s">
        <v>115</v>
      </c>
      <c r="B5" s="72" t="s">
        <v>116</v>
      </c>
      <c r="C5" s="74" t="n">
        <v>185</v>
      </c>
    </row>
    <row r="6" customFormat="false" ht="31.5" hidden="false" customHeight="true" outlineLevel="0" collapsed="false">
      <c r="A6" s="71" t="s">
        <v>117</v>
      </c>
      <c r="B6" s="72" t="s">
        <v>118</v>
      </c>
      <c r="C6" s="74" t="n">
        <v>180</v>
      </c>
    </row>
    <row r="7" customFormat="false" ht="31.5" hidden="false" customHeight="true" outlineLevel="0" collapsed="false">
      <c r="A7" s="71" t="s">
        <v>119</v>
      </c>
      <c r="B7" s="72" t="s">
        <v>120</v>
      </c>
      <c r="C7" s="74" t="n">
        <v>165</v>
      </c>
    </row>
    <row r="8" customFormat="false" ht="31.5" hidden="false" customHeight="true" outlineLevel="0" collapsed="false">
      <c r="A8" s="71" t="s">
        <v>121</v>
      </c>
      <c r="B8" s="72" t="s">
        <v>122</v>
      </c>
      <c r="C8" s="74" t="n">
        <v>195</v>
      </c>
    </row>
    <row r="9" customFormat="false" ht="31.5" hidden="false" customHeight="true" outlineLevel="0" collapsed="false">
      <c r="A9" s="71" t="s">
        <v>123</v>
      </c>
      <c r="B9" s="72" t="s">
        <v>124</v>
      </c>
      <c r="C9" s="74" t="n">
        <v>150</v>
      </c>
    </row>
    <row r="10" customFormat="false" ht="31.5" hidden="false" customHeight="true" outlineLevel="0" collapsed="false">
      <c r="A10" s="71" t="s">
        <v>125</v>
      </c>
      <c r="B10" s="72" t="s">
        <v>126</v>
      </c>
      <c r="C10" s="74" t="n">
        <v>155</v>
      </c>
    </row>
    <row r="11" customFormat="false" ht="31.5" hidden="false" customHeight="true" outlineLevel="0" collapsed="false">
      <c r="A11" s="71" t="s">
        <v>127</v>
      </c>
      <c r="B11" s="72" t="s">
        <v>128</v>
      </c>
      <c r="C11" s="74" t="n">
        <v>140</v>
      </c>
    </row>
    <row r="12" customFormat="false" ht="31.5" hidden="false" customHeight="true" outlineLevel="0" collapsed="false">
      <c r="A12" s="71" t="s">
        <v>129</v>
      </c>
      <c r="B12" s="72" t="s">
        <v>130</v>
      </c>
      <c r="C12" s="74" t="n">
        <v>135</v>
      </c>
    </row>
    <row r="13" customFormat="false" ht="31.5" hidden="false" customHeight="true" outlineLevel="0" collapsed="false">
      <c r="A13" s="71" t="s">
        <v>131</v>
      </c>
      <c r="B13" s="72" t="s">
        <v>132</v>
      </c>
      <c r="C13" s="74" t="n">
        <v>125</v>
      </c>
    </row>
    <row r="14" customFormat="false" ht="16.5" hidden="false" customHeight="true" outlineLevel="0" collapsed="false">
      <c r="A14" s="48"/>
      <c r="B14" s="48"/>
      <c r="C14" s="75"/>
    </row>
    <row r="15" customFormat="false" ht="16.5" hidden="false" customHeight="true" outlineLevel="0" collapsed="false">
      <c r="A15" s="48"/>
      <c r="B15" s="48"/>
      <c r="C15" s="75"/>
    </row>
    <row r="16" customFormat="false" ht="16.5" hidden="false" customHeight="true" outlineLevel="0" collapsed="false">
      <c r="A16" s="48"/>
      <c r="B16" s="29"/>
      <c r="C16" s="76"/>
    </row>
    <row r="18" customFormat="false" ht="17.25" hidden="false" customHeight="true" outlineLevel="0" collapsed="false">
      <c r="A18" s="77" t="s">
        <v>63</v>
      </c>
      <c r="B18" s="77"/>
      <c r="C18" s="77"/>
    </row>
    <row r="19" customFormat="false" ht="15" hidden="false" customHeight="false" outlineLevel="0" collapsed="false">
      <c r="A19" s="46" t="s">
        <v>133</v>
      </c>
      <c r="B19" s="46"/>
      <c r="C19" s="46"/>
    </row>
    <row r="20" customFormat="false" ht="15" hidden="false" customHeight="false" outlineLevel="0" collapsed="false">
      <c r="A20" s="46" t="s">
        <v>134</v>
      </c>
      <c r="B20" s="46"/>
      <c r="C20" s="46"/>
    </row>
    <row r="21" customFormat="false" ht="15" hidden="false" customHeight="false" outlineLevel="0" collapsed="false">
      <c r="A21" s="46" t="s">
        <v>135</v>
      </c>
      <c r="B21" s="46"/>
      <c r="C21" s="46"/>
    </row>
    <row r="22" customFormat="false" ht="15" hidden="false" customHeight="false" outlineLevel="0" collapsed="false">
      <c r="A22" s="47"/>
      <c r="B22" s="47"/>
      <c r="C22" s="47"/>
    </row>
    <row r="23" customFormat="false" ht="15" hidden="false" customHeight="false" outlineLevel="0" collapsed="false">
      <c r="A23" s="47"/>
      <c r="B23" s="47"/>
      <c r="C23" s="47"/>
    </row>
    <row r="24" customFormat="false" ht="15" hidden="false" customHeight="false" outlineLevel="0" collapsed="false">
      <c r="A24" s="47"/>
      <c r="B24" s="47"/>
      <c r="C24" s="47"/>
    </row>
    <row r="25" customFormat="false" ht="15" hidden="false" customHeight="false" outlineLevel="0" collapsed="false">
      <c r="A25" s="47"/>
      <c r="B25" s="47"/>
      <c r="C25" s="47"/>
    </row>
    <row r="26" customFormat="false" ht="15" hidden="false" customHeight="false" outlineLevel="0" collapsed="false">
      <c r="A26" s="47"/>
      <c r="B26" s="47"/>
      <c r="C26" s="47"/>
    </row>
    <row r="27" customFormat="false" ht="15" hidden="false" customHeight="false" outlineLevel="0" collapsed="false">
      <c r="A27" s="47"/>
      <c r="B27" s="47"/>
      <c r="C27" s="47"/>
    </row>
    <row r="28" customFormat="false" ht="15" hidden="false" customHeight="false" outlineLevel="0" collapsed="false">
      <c r="A28" s="47"/>
      <c r="B28" s="47"/>
      <c r="C28" s="47"/>
    </row>
    <row r="29" customFormat="false" ht="15" hidden="false" customHeight="false" outlineLevel="0" collapsed="false">
      <c r="A29" s="47"/>
      <c r="B29" s="47"/>
      <c r="C29" s="47"/>
    </row>
  </sheetData>
  <mergeCells count="13">
    <mergeCell ref="A1:C1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33.75" hidden="false" customHeight="true" outlineLevel="0" collapsed="false">
      <c r="A1" s="78" t="s">
        <v>136</v>
      </c>
      <c r="B1" s="78"/>
      <c r="C1" s="78"/>
      <c r="D1" s="78"/>
      <c r="E1" s="78"/>
      <c r="F1" s="78"/>
      <c r="G1" s="78"/>
    </row>
    <row r="2" customFormat="false" ht="17.25" hidden="false" customHeight="true" outlineLevel="0" collapsed="false">
      <c r="A2" s="79"/>
      <c r="B2" s="80" t="s">
        <v>137</v>
      </c>
      <c r="C2" s="80" t="s">
        <v>138</v>
      </c>
      <c r="D2" s="80" t="s">
        <v>139</v>
      </c>
      <c r="E2" s="80" t="s">
        <v>140</v>
      </c>
      <c r="F2" s="80" t="s">
        <v>141</v>
      </c>
      <c r="G2" s="80" t="s">
        <v>142</v>
      </c>
    </row>
    <row r="3" customFormat="false" ht="17.25" hidden="false" customHeight="true" outlineLevel="0" collapsed="false">
      <c r="A3" s="81" t="s">
        <v>143</v>
      </c>
      <c r="B3" s="82" t="n">
        <f aca="false">'Implementation Costs'!F11</f>
        <v>2880000</v>
      </c>
      <c r="C3" s="83" t="s">
        <v>144</v>
      </c>
      <c r="D3" s="83" t="s">
        <v>144</v>
      </c>
      <c r="E3" s="83" t="s">
        <v>144</v>
      </c>
      <c r="F3" s="83" t="s">
        <v>144</v>
      </c>
      <c r="G3" s="83" t="s">
        <v>144</v>
      </c>
    </row>
    <row r="4" customFormat="false" ht="17.25" hidden="false" customHeight="true" outlineLevel="0" collapsed="false">
      <c r="A4" s="81" t="s">
        <v>145</v>
      </c>
      <c r="B4" s="84" t="n">
        <f aca="false">'Licensing Costs'!$G$9</f>
        <v>172800</v>
      </c>
      <c r="C4" s="84" t="n">
        <f aca="false">'Licensing Costs'!$G$9</f>
        <v>172800</v>
      </c>
      <c r="D4" s="84" t="n">
        <f aca="false">'Licensing Costs'!$G$9</f>
        <v>172800</v>
      </c>
      <c r="E4" s="84" t="n">
        <f aca="false">'Licensing Costs'!$G$9</f>
        <v>172800</v>
      </c>
      <c r="F4" s="84" t="n">
        <f aca="false">'Licensing Costs'!$G$9</f>
        <v>172800</v>
      </c>
      <c r="G4" s="84" t="n">
        <f aca="false">'Licensing Costs'!$G$9</f>
        <v>172800</v>
      </c>
    </row>
    <row r="5" customFormat="false" ht="18" hidden="false" customHeight="true" outlineLevel="0" collapsed="false">
      <c r="A5" s="85" t="s">
        <v>146</v>
      </c>
      <c r="B5" s="86" t="n">
        <f aca="false">'Ongoing Operating Costs'!$F$6</f>
        <v>497000</v>
      </c>
      <c r="C5" s="86" t="n">
        <f aca="false">'Ongoing Operating Costs'!$F$6</f>
        <v>497000</v>
      </c>
      <c r="D5" s="86" t="n">
        <f aca="false">'Ongoing Operating Costs'!$F$6</f>
        <v>497000</v>
      </c>
      <c r="E5" s="86" t="n">
        <f aca="false">'Ongoing Operating Costs'!$F$6</f>
        <v>497000</v>
      </c>
      <c r="F5" s="86" t="n">
        <f aca="false">'Ongoing Operating Costs'!$F$6</f>
        <v>497000</v>
      </c>
      <c r="G5" s="86" t="n">
        <f aca="false">'Ongoing Operating Costs'!$F$6</f>
        <v>497000</v>
      </c>
    </row>
    <row r="6" customFormat="false" ht="15" hidden="false" customHeight="true" outlineLevel="0" collapsed="false">
      <c r="A6" s="87" t="s">
        <v>147</v>
      </c>
      <c r="B6" s="88" t="n">
        <f aca="false">SUM(B3:B5)</f>
        <v>3549800</v>
      </c>
      <c r="C6" s="88" t="n">
        <f aca="false">SUM(C4:C5)</f>
        <v>669800</v>
      </c>
      <c r="D6" s="88" t="n">
        <f aca="false">SUM(D4:D5)</f>
        <v>669800</v>
      </c>
      <c r="E6" s="88" t="n">
        <f aca="false">SUM(E4:E5)</f>
        <v>669800</v>
      </c>
      <c r="F6" s="88" t="n">
        <f aca="false">SUM(F4:F5)</f>
        <v>669800</v>
      </c>
      <c r="G6" s="88" t="n">
        <f aca="false">SUM(G4:G5)</f>
        <v>669800</v>
      </c>
    </row>
    <row r="7" customFormat="false" ht="15.75" hidden="false" customHeight="true" outlineLevel="0" collapsed="false">
      <c r="A7" s="87"/>
      <c r="B7" s="87"/>
      <c r="C7" s="87"/>
      <c r="D7" s="87"/>
      <c r="E7" s="87"/>
      <c r="F7" s="87"/>
      <c r="G7" s="87"/>
    </row>
    <row r="8" customFormat="false" ht="16.5" hidden="false" customHeight="true" outlineLevel="0" collapsed="false">
      <c r="A8" s="89" t="s">
        <v>148</v>
      </c>
      <c r="B8" s="89"/>
      <c r="C8" s="89"/>
      <c r="D8" s="89"/>
      <c r="E8" s="89"/>
      <c r="F8" s="89"/>
      <c r="G8" s="90" t="n">
        <f aca="false">SUM(B6,C6,D6,E6,F6,G6)</f>
        <v>6898800</v>
      </c>
    </row>
    <row r="9" customFormat="false" ht="15.75" hidden="false" customHeight="true" outlineLevel="0" collapsed="false">
      <c r="A9" s="89" t="s">
        <v>61</v>
      </c>
      <c r="B9" s="89"/>
      <c r="C9" s="89"/>
      <c r="D9" s="89"/>
      <c r="E9" s="89"/>
      <c r="F9" s="89"/>
      <c r="G9" s="84" t="n">
        <f aca="false">SUM(G8*0.05)</f>
        <v>344940</v>
      </c>
    </row>
    <row r="10" customFormat="false" ht="15.75" hidden="false" customHeight="true" outlineLevel="0" collapsed="false">
      <c r="A10" s="89" t="s">
        <v>149</v>
      </c>
      <c r="B10" s="89"/>
      <c r="C10" s="89"/>
      <c r="D10" s="89"/>
      <c r="E10" s="89"/>
      <c r="F10" s="89"/>
      <c r="G10" s="84" t="n">
        <f aca="false">SUM(G8,G9)</f>
        <v>7243740</v>
      </c>
    </row>
    <row r="12" customFormat="false" ht="15" hidden="false" customHeight="false" outlineLevel="0" collapsed="false">
      <c r="A12" s="91" t="s">
        <v>150</v>
      </c>
    </row>
  </sheetData>
  <mergeCells count="11">
    <mergeCell ref="A1:G1"/>
    <mergeCell ref="A6:A7"/>
    <mergeCell ref="B6:B7"/>
    <mergeCell ref="C6:C7"/>
    <mergeCell ref="D6:D7"/>
    <mergeCell ref="E6:E7"/>
    <mergeCell ref="F6:F7"/>
    <mergeCell ref="G6:G7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2018-05-16T20:57:15Z</dcterms:created>
  <dc:creator>Francis, Ryan (CP - Information Technology)</dc:creator>
  <dc:description/>
  <dc:language>en-US</dc:language>
  <cp:lastModifiedBy>Soumya Ghosh</cp:lastModifiedBy>
  <dcterms:modified xsi:type="dcterms:W3CDTF">2026-02-23T20:35:58Z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0x0101004B62291C3434A94CACA5D564EE7A3C23</vt:lpwstr>
  </property>
  <property fmtid="{D5CDD505-2E9C-101B-9397-08002B2CF9AE}" pid="4" name="MediaServiceImageTags">
    <vt:lpwstr/>
  </property>
  <property fmtid="{D5CDD505-2E9C-101B-9397-08002B2CF9AE}" pid="5" name="SharedWithUsers">
    <vt:lpwstr>13;#Kate Dergousoff;#76;#Elizabeth Vannan</vt:lpwstr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